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70" yWindow="300" windowWidth="13245" windowHeight="8130" activeTab="1"/>
  </bookViews>
  <sheets>
    <sheet name="Config" sheetId="2" r:id="rId1"/>
    <sheet name="Orders01" sheetId="3" r:id="rId2"/>
    <sheet name="Params" sheetId="4" r:id="rId3"/>
    <sheet name="Portfolio" sheetId="5" r:id="rId4"/>
    <sheet name="Last" sheetId="6" r:id="rId5"/>
    <sheet name="Hi" sheetId="7" r:id="rId6"/>
    <sheet name="Lo" sheetId="8" r:id="rId7"/>
    <sheet name="Consolidado" sheetId="9" r:id="rId8"/>
  </sheets>
  <functionGroups/>
  <definedNames>
    <definedName name="MaxAmount">Config!$B$18</definedName>
    <definedName name="MaxNrOrders">Config!$B$16</definedName>
    <definedName name="MaxNrShares">Config!$B$17</definedName>
    <definedName name="MaxRangeSize">Config!$B$16</definedName>
    <definedName name="OutputRange" localSheetId="5">Hi!$D$1</definedName>
    <definedName name="OutputRange" localSheetId="4">Last!$D$1</definedName>
    <definedName name="OutputRange" localSheetId="6">Lo!$D$1</definedName>
    <definedName name="OutputRange" localSheetId="3">Portfolio!$D$1</definedName>
    <definedName name="Params" localSheetId="5">Hi!$A$1</definedName>
    <definedName name="Params" localSheetId="4">Last!$A$1</definedName>
    <definedName name="Params" localSheetId="6">Lo!$A$1</definedName>
    <definedName name="Params" localSheetId="3">Portfolio!$A$1</definedName>
    <definedName name="Sections" localSheetId="3">Portfolio!$A$11</definedName>
    <definedName name="StreamCancelAll01">Config!$E$13</definedName>
    <definedName name="StreamCancelAll02">Config!#REF!</definedName>
    <definedName name="StreamExec01">Config!$D$13</definedName>
    <definedName name="StreamExec02">Config!#REF!</definedName>
    <definedName name="StreamOrders01">Config!$C$13</definedName>
    <definedName name="StreamOrders02">Config!#REF!</definedName>
    <definedName name="Tickers" localSheetId="5">Hi!$A$11</definedName>
    <definedName name="Tickers" localSheetId="4">Last!$A$11</definedName>
    <definedName name="Tickers" localSheetId="6">Lo!$A$11</definedName>
    <definedName name="URIREFOrders01">Config!$B$13</definedName>
    <definedName name="URIREFOrders02">Config!#REF!</definedName>
  </definedNames>
  <calcPr calcId="125725"/>
</workbook>
</file>

<file path=xl/calcChain.xml><?xml version="1.0" encoding="utf-8"?>
<calcChain xmlns="http://schemas.openxmlformats.org/spreadsheetml/2006/main">
  <c r="B20" i="3"/>
  <c r="A20" s="1"/>
  <c r="B1" i="8"/>
  <c r="B1" i="7"/>
  <c r="B1" i="6"/>
  <c r="N20" i="3" l="1"/>
  <c r="O20"/>
  <c r="A12" i="8"/>
  <c r="B12" s="1"/>
  <c r="A13"/>
  <c r="C13" s="1"/>
  <c r="A14"/>
  <c r="B14" s="1"/>
  <c r="A15"/>
  <c r="C15" s="1"/>
  <c r="A16"/>
  <c r="B16" s="1"/>
  <c r="A17"/>
  <c r="C17" s="1"/>
  <c r="A18"/>
  <c r="B18" s="1"/>
  <c r="A19"/>
  <c r="C19" s="1"/>
  <c r="A20"/>
  <c r="B20" s="1"/>
  <c r="A21"/>
  <c r="C21" s="1"/>
  <c r="A22"/>
  <c r="B22" s="1"/>
  <c r="A23"/>
  <c r="C23" s="1"/>
  <c r="A24"/>
  <c r="B24" s="1"/>
  <c r="A25"/>
  <c r="C25" s="1"/>
  <c r="A26"/>
  <c r="B26" s="1"/>
  <c r="A27"/>
  <c r="C27" s="1"/>
  <c r="A28"/>
  <c r="B28" s="1"/>
  <c r="A29"/>
  <c r="C29" s="1"/>
  <c r="A30"/>
  <c r="B30" s="1"/>
  <c r="A31"/>
  <c r="C31" s="1"/>
  <c r="A32"/>
  <c r="B32" s="1"/>
  <c r="A33"/>
  <c r="C33" s="1"/>
  <c r="A34"/>
  <c r="B34" s="1"/>
  <c r="A35"/>
  <c r="C35" s="1"/>
  <c r="A36"/>
  <c r="B36" s="1"/>
  <c r="A37"/>
  <c r="C37" s="1"/>
  <c r="A38"/>
  <c r="B38" s="1"/>
  <c r="A39"/>
  <c r="C39" s="1"/>
  <c r="A40"/>
  <c r="B40" s="1"/>
  <c r="A41"/>
  <c r="C41" s="1"/>
  <c r="A42"/>
  <c r="B42" s="1"/>
  <c r="A43"/>
  <c r="C43" s="1"/>
  <c r="A44"/>
  <c r="B44" s="1"/>
  <c r="A45"/>
  <c r="C45" s="1"/>
  <c r="A46"/>
  <c r="B46" s="1"/>
  <c r="A47"/>
  <c r="C47" s="1"/>
  <c r="A48"/>
  <c r="B48" s="1"/>
  <c r="A49"/>
  <c r="C49" s="1"/>
  <c r="A50"/>
  <c r="B50" s="1"/>
  <c r="A51"/>
  <c r="C51" s="1"/>
  <c r="A52"/>
  <c r="B52" s="1"/>
  <c r="A53"/>
  <c r="C53" s="1"/>
  <c r="A54"/>
  <c r="B54" s="1"/>
  <c r="A55"/>
  <c r="C55" s="1"/>
  <c r="A56"/>
  <c r="B56" s="1"/>
  <c r="A57"/>
  <c r="C57" s="1"/>
  <c r="A58"/>
  <c r="B58" s="1"/>
  <c r="A59"/>
  <c r="C59" s="1"/>
  <c r="A60"/>
  <c r="B60" s="1"/>
  <c r="A61"/>
  <c r="C61" s="1"/>
  <c r="A62"/>
  <c r="B62" s="1"/>
  <c r="A63"/>
  <c r="C63" s="1"/>
  <c r="A64"/>
  <c r="B64" s="1"/>
  <c r="A65"/>
  <c r="C65" s="1"/>
  <c r="A66"/>
  <c r="B66" s="1"/>
  <c r="A67"/>
  <c r="C67" s="1"/>
  <c r="A68"/>
  <c r="B68" s="1"/>
  <c r="A69"/>
  <c r="C69" s="1"/>
  <c r="A70"/>
  <c r="B70" s="1"/>
  <c r="A71"/>
  <c r="C71" s="1"/>
  <c r="A72"/>
  <c r="B72" s="1"/>
  <c r="A73"/>
  <c r="C73" s="1"/>
  <c r="A74"/>
  <c r="B74" s="1"/>
  <c r="A75"/>
  <c r="C75" s="1"/>
  <c r="A76"/>
  <c r="B76" s="1"/>
  <c r="A77"/>
  <c r="C77" s="1"/>
  <c r="A78"/>
  <c r="B78" s="1"/>
  <c r="A79"/>
  <c r="C79" s="1"/>
  <c r="A80"/>
  <c r="B80" s="1"/>
  <c r="A81"/>
  <c r="C81" s="1"/>
  <c r="A82"/>
  <c r="B82" s="1"/>
  <c r="A83"/>
  <c r="C83" s="1"/>
  <c r="A84"/>
  <c r="B84" s="1"/>
  <c r="A85"/>
  <c r="C85" s="1"/>
  <c r="A86"/>
  <c r="B86" s="1"/>
  <c r="A87"/>
  <c r="C87" s="1"/>
  <c r="A88"/>
  <c r="B88" s="1"/>
  <c r="A89"/>
  <c r="C89" s="1"/>
  <c r="A90"/>
  <c r="B90" s="1"/>
  <c r="A91"/>
  <c r="C91" s="1"/>
  <c r="A92"/>
  <c r="B92" s="1"/>
  <c r="A93"/>
  <c r="C93" s="1"/>
  <c r="A94"/>
  <c r="B94" s="1"/>
  <c r="A95"/>
  <c r="C95" s="1"/>
  <c r="A96"/>
  <c r="B96" s="1"/>
  <c r="A97"/>
  <c r="C97" s="1"/>
  <c r="A98"/>
  <c r="B98" s="1"/>
  <c r="A99"/>
  <c r="C99" s="1"/>
  <c r="A100"/>
  <c r="B100" s="1"/>
  <c r="A11"/>
  <c r="C11" s="1"/>
  <c r="A12" i="7"/>
  <c r="B12" s="1"/>
  <c r="A13"/>
  <c r="C13" s="1"/>
  <c r="A14"/>
  <c r="B14" s="1"/>
  <c r="A15"/>
  <c r="C15" s="1"/>
  <c r="A16"/>
  <c r="B16" s="1"/>
  <c r="A17"/>
  <c r="C17" s="1"/>
  <c r="A18"/>
  <c r="B18" s="1"/>
  <c r="A19"/>
  <c r="C19" s="1"/>
  <c r="A20"/>
  <c r="B20" s="1"/>
  <c r="A21"/>
  <c r="C21" s="1"/>
  <c r="A22"/>
  <c r="B22" s="1"/>
  <c r="A23"/>
  <c r="C23" s="1"/>
  <c r="A24"/>
  <c r="B24" s="1"/>
  <c r="A25"/>
  <c r="C25" s="1"/>
  <c r="A26"/>
  <c r="B26" s="1"/>
  <c r="A27"/>
  <c r="C27" s="1"/>
  <c r="A28"/>
  <c r="B28" s="1"/>
  <c r="A29"/>
  <c r="C29" s="1"/>
  <c r="A30"/>
  <c r="B30" s="1"/>
  <c r="A31"/>
  <c r="C31" s="1"/>
  <c r="A32"/>
  <c r="B32" s="1"/>
  <c r="A33"/>
  <c r="C33" s="1"/>
  <c r="A34"/>
  <c r="C34" s="1"/>
  <c r="A35"/>
  <c r="C35" s="1"/>
  <c r="A36"/>
  <c r="C36" s="1"/>
  <c r="A37"/>
  <c r="C37" s="1"/>
  <c r="A38"/>
  <c r="C38" s="1"/>
  <c r="A39"/>
  <c r="C39" s="1"/>
  <c r="A40"/>
  <c r="C40" s="1"/>
  <c r="A41"/>
  <c r="C41" s="1"/>
  <c r="A42"/>
  <c r="C42" s="1"/>
  <c r="A43"/>
  <c r="C43" s="1"/>
  <c r="A44"/>
  <c r="C44" s="1"/>
  <c r="A45"/>
  <c r="C45" s="1"/>
  <c r="A46"/>
  <c r="C46" s="1"/>
  <c r="A47"/>
  <c r="C47" s="1"/>
  <c r="A48"/>
  <c r="C48" s="1"/>
  <c r="A49"/>
  <c r="C49" s="1"/>
  <c r="A50"/>
  <c r="C50" s="1"/>
  <c r="A51"/>
  <c r="C51" s="1"/>
  <c r="A52"/>
  <c r="C52" s="1"/>
  <c r="A53"/>
  <c r="C53" s="1"/>
  <c r="A54"/>
  <c r="C54" s="1"/>
  <c r="A55"/>
  <c r="C55" s="1"/>
  <c r="A56"/>
  <c r="C56" s="1"/>
  <c r="A57"/>
  <c r="C57" s="1"/>
  <c r="A58"/>
  <c r="C58" s="1"/>
  <c r="A59"/>
  <c r="C59" s="1"/>
  <c r="A60"/>
  <c r="C60" s="1"/>
  <c r="A61"/>
  <c r="C61" s="1"/>
  <c r="A62"/>
  <c r="C62" s="1"/>
  <c r="A63"/>
  <c r="C63" s="1"/>
  <c r="A64"/>
  <c r="C64" s="1"/>
  <c r="A65"/>
  <c r="C65" s="1"/>
  <c r="A66"/>
  <c r="C66" s="1"/>
  <c r="A67"/>
  <c r="C67" s="1"/>
  <c r="A68"/>
  <c r="C68" s="1"/>
  <c r="A69"/>
  <c r="C69" s="1"/>
  <c r="A70"/>
  <c r="C70" s="1"/>
  <c r="A71"/>
  <c r="C71" s="1"/>
  <c r="A72"/>
  <c r="C72" s="1"/>
  <c r="A73"/>
  <c r="C73" s="1"/>
  <c r="A74"/>
  <c r="C74" s="1"/>
  <c r="A75"/>
  <c r="C75" s="1"/>
  <c r="A76"/>
  <c r="C76" s="1"/>
  <c r="A77"/>
  <c r="C77" s="1"/>
  <c r="A78"/>
  <c r="C78" s="1"/>
  <c r="A79"/>
  <c r="C79" s="1"/>
  <c r="A80"/>
  <c r="C80" s="1"/>
  <c r="A81"/>
  <c r="C81" s="1"/>
  <c r="A82"/>
  <c r="C82" s="1"/>
  <c r="A83"/>
  <c r="C83" s="1"/>
  <c r="A84"/>
  <c r="C84" s="1"/>
  <c r="A85"/>
  <c r="C85" s="1"/>
  <c r="A86"/>
  <c r="C86" s="1"/>
  <c r="A87"/>
  <c r="C87" s="1"/>
  <c r="A88"/>
  <c r="C88" s="1"/>
  <c r="A89"/>
  <c r="C89" s="1"/>
  <c r="A90"/>
  <c r="C90" s="1"/>
  <c r="A91"/>
  <c r="C91" s="1"/>
  <c r="A92"/>
  <c r="C92" s="1"/>
  <c r="A93"/>
  <c r="C93" s="1"/>
  <c r="A94"/>
  <c r="C94" s="1"/>
  <c r="A95"/>
  <c r="C95" s="1"/>
  <c r="A96"/>
  <c r="C96" s="1"/>
  <c r="A97"/>
  <c r="C97" s="1"/>
  <c r="A98"/>
  <c r="C98" s="1"/>
  <c r="A99"/>
  <c r="C99" s="1"/>
  <c r="A100"/>
  <c r="C100" s="1"/>
  <c r="A11"/>
  <c r="C11" s="1"/>
  <c r="A12" i="6"/>
  <c r="C12" s="1"/>
  <c r="A13"/>
  <c r="C13" s="1"/>
  <c r="A14"/>
  <c r="C14" s="1"/>
  <c r="A15"/>
  <c r="C15" s="1"/>
  <c r="A16"/>
  <c r="C16" s="1"/>
  <c r="A17"/>
  <c r="C17" s="1"/>
  <c r="A18"/>
  <c r="C18" s="1"/>
  <c r="A19"/>
  <c r="C19" s="1"/>
  <c r="A20"/>
  <c r="C20" s="1"/>
  <c r="A21"/>
  <c r="C21" s="1"/>
  <c r="A22"/>
  <c r="C22" s="1"/>
  <c r="A23"/>
  <c r="C23" s="1"/>
  <c r="A24"/>
  <c r="C24" s="1"/>
  <c r="A25"/>
  <c r="C25" s="1"/>
  <c r="A26"/>
  <c r="C26" s="1"/>
  <c r="A27"/>
  <c r="C27" s="1"/>
  <c r="A28"/>
  <c r="C28" s="1"/>
  <c r="A29"/>
  <c r="C29" s="1"/>
  <c r="A30"/>
  <c r="C30" s="1"/>
  <c r="A31"/>
  <c r="C31" s="1"/>
  <c r="A32"/>
  <c r="C32" s="1"/>
  <c r="A33"/>
  <c r="C33" s="1"/>
  <c r="A34"/>
  <c r="C34" s="1"/>
  <c r="A35"/>
  <c r="C35" s="1"/>
  <c r="A36"/>
  <c r="C36" s="1"/>
  <c r="A37"/>
  <c r="C37" s="1"/>
  <c r="A38"/>
  <c r="C38" s="1"/>
  <c r="A39"/>
  <c r="C39" s="1"/>
  <c r="A40"/>
  <c r="C40" s="1"/>
  <c r="A41"/>
  <c r="C41" s="1"/>
  <c r="A42"/>
  <c r="C42" s="1"/>
  <c r="A43"/>
  <c r="C43" s="1"/>
  <c r="A44"/>
  <c r="C44" s="1"/>
  <c r="A45"/>
  <c r="C45" s="1"/>
  <c r="A46"/>
  <c r="C46" s="1"/>
  <c r="A47"/>
  <c r="C47" s="1"/>
  <c r="A48"/>
  <c r="C48" s="1"/>
  <c r="A49"/>
  <c r="C49" s="1"/>
  <c r="A50"/>
  <c r="C50" s="1"/>
  <c r="A51"/>
  <c r="C51" s="1"/>
  <c r="A52"/>
  <c r="C52" s="1"/>
  <c r="A53"/>
  <c r="C53" s="1"/>
  <c r="A54"/>
  <c r="C54" s="1"/>
  <c r="A55"/>
  <c r="C55" s="1"/>
  <c r="A56"/>
  <c r="C56" s="1"/>
  <c r="A57"/>
  <c r="C57" s="1"/>
  <c r="A58"/>
  <c r="C58" s="1"/>
  <c r="A59"/>
  <c r="C59" s="1"/>
  <c r="A60"/>
  <c r="C60" s="1"/>
  <c r="A61"/>
  <c r="C61" s="1"/>
  <c r="A62"/>
  <c r="C62" s="1"/>
  <c r="A63"/>
  <c r="C63" s="1"/>
  <c r="A64"/>
  <c r="C64" s="1"/>
  <c r="A65"/>
  <c r="C65" s="1"/>
  <c r="A66"/>
  <c r="C66" s="1"/>
  <c r="A67"/>
  <c r="C67" s="1"/>
  <c r="A68"/>
  <c r="C68" s="1"/>
  <c r="A69"/>
  <c r="C69" s="1"/>
  <c r="A70"/>
  <c r="C70" s="1"/>
  <c r="A71"/>
  <c r="C71" s="1"/>
  <c r="A72"/>
  <c r="C72" s="1"/>
  <c r="A73"/>
  <c r="C73" s="1"/>
  <c r="A74"/>
  <c r="C74" s="1"/>
  <c r="A75"/>
  <c r="C75" s="1"/>
  <c r="A76"/>
  <c r="C76" s="1"/>
  <c r="A77"/>
  <c r="C77" s="1"/>
  <c r="A78"/>
  <c r="C78" s="1"/>
  <c r="A79"/>
  <c r="C79" s="1"/>
  <c r="A80"/>
  <c r="C80" s="1"/>
  <c r="A81"/>
  <c r="C81" s="1"/>
  <c r="A82"/>
  <c r="C82" s="1"/>
  <c r="A83"/>
  <c r="C83" s="1"/>
  <c r="A84"/>
  <c r="C84" s="1"/>
  <c r="A85"/>
  <c r="C85" s="1"/>
  <c r="A86"/>
  <c r="C86" s="1"/>
  <c r="A87"/>
  <c r="C87" s="1"/>
  <c r="A88"/>
  <c r="C88" s="1"/>
  <c r="A89"/>
  <c r="C89" s="1"/>
  <c r="A90"/>
  <c r="C90" s="1"/>
  <c r="A91"/>
  <c r="C91" s="1"/>
  <c r="A92"/>
  <c r="C92" s="1"/>
  <c r="A93"/>
  <c r="C93" s="1"/>
  <c r="A94"/>
  <c r="C94" s="1"/>
  <c r="A95"/>
  <c r="C95" s="1"/>
  <c r="A96"/>
  <c r="C96" s="1"/>
  <c r="A97"/>
  <c r="C97" s="1"/>
  <c r="A98"/>
  <c r="C98" s="1"/>
  <c r="A99"/>
  <c r="C99" s="1"/>
  <c r="A100"/>
  <c r="C100" s="1"/>
  <c r="A11"/>
  <c r="C11" s="1"/>
  <c r="B2" i="8"/>
  <c r="B2" i="7"/>
  <c r="B2" i="6"/>
  <c r="B3" i="3"/>
  <c r="B4"/>
  <c r="B5"/>
  <c r="B6"/>
  <c r="B7"/>
  <c r="B8"/>
  <c r="B9"/>
  <c r="B10"/>
  <c r="B11"/>
  <c r="B12"/>
  <c r="B13"/>
  <c r="B14"/>
  <c r="B15"/>
  <c r="B16"/>
  <c r="N16" s="1"/>
  <c r="B17"/>
  <c r="A17" s="1"/>
  <c r="B18"/>
  <c r="N18" s="1"/>
  <c r="B19"/>
  <c r="B21"/>
  <c r="A21" s="1"/>
  <c r="B22"/>
  <c r="O22" s="1"/>
  <c r="B23"/>
  <c r="O23" s="1"/>
  <c r="B24"/>
  <c r="O24" s="1"/>
  <c r="B25"/>
  <c r="N25" s="1"/>
  <c r="B26"/>
  <c r="O26" s="1"/>
  <c r="B27"/>
  <c r="O27" s="1"/>
  <c r="B28"/>
  <c r="N28" s="1"/>
  <c r="B29"/>
  <c r="A29" s="1"/>
  <c r="B30"/>
  <c r="N30" s="1"/>
  <c r="B31"/>
  <c r="O31" s="1"/>
  <c r="B32"/>
  <c r="N32" s="1"/>
  <c r="B33"/>
  <c r="O33" s="1"/>
  <c r="B34"/>
  <c r="N34" s="1"/>
  <c r="B35"/>
  <c r="O35" s="1"/>
  <c r="B36"/>
  <c r="N36" s="1"/>
  <c r="B37"/>
  <c r="O37" s="1"/>
  <c r="B38"/>
  <c r="N38" s="1"/>
  <c r="B39"/>
  <c r="O39" s="1"/>
  <c r="B40"/>
  <c r="N40" s="1"/>
  <c r="B41"/>
  <c r="O41" s="1"/>
  <c r="B42"/>
  <c r="N42" s="1"/>
  <c r="B43"/>
  <c r="O43" s="1"/>
  <c r="B44"/>
  <c r="N44" s="1"/>
  <c r="B45"/>
  <c r="O45" s="1"/>
  <c r="B46"/>
  <c r="N46" s="1"/>
  <c r="B47"/>
  <c r="O47" s="1"/>
  <c r="B48"/>
  <c r="N48" s="1"/>
  <c r="B49"/>
  <c r="O49" s="1"/>
  <c r="B50"/>
  <c r="N50" s="1"/>
  <c r="B51"/>
  <c r="O51" s="1"/>
  <c r="B52"/>
  <c r="N52" s="1"/>
  <c r="B53"/>
  <c r="O53" s="1"/>
  <c r="B54"/>
  <c r="N54" s="1"/>
  <c r="B55"/>
  <c r="O55" s="1"/>
  <c r="B56"/>
  <c r="N56" s="1"/>
  <c r="B57"/>
  <c r="O57" s="1"/>
  <c r="B58"/>
  <c r="N58" s="1"/>
  <c r="B59"/>
  <c r="O59" s="1"/>
  <c r="B60"/>
  <c r="N60" s="1"/>
  <c r="B61"/>
  <c r="O61" s="1"/>
  <c r="B62"/>
  <c r="N62" s="1"/>
  <c r="B63"/>
  <c r="O63" s="1"/>
  <c r="B64"/>
  <c r="N64" s="1"/>
  <c r="B65"/>
  <c r="O65" s="1"/>
  <c r="B66"/>
  <c r="N66" s="1"/>
  <c r="B67"/>
  <c r="O67" s="1"/>
  <c r="B68"/>
  <c r="N68" s="1"/>
  <c r="B69"/>
  <c r="O69" s="1"/>
  <c r="B70"/>
  <c r="N70" s="1"/>
  <c r="B71"/>
  <c r="O71" s="1"/>
  <c r="B72"/>
  <c r="N72" s="1"/>
  <c r="B73"/>
  <c r="O73" s="1"/>
  <c r="B74"/>
  <c r="N74" s="1"/>
  <c r="B75"/>
  <c r="O75" s="1"/>
  <c r="B76"/>
  <c r="N76" s="1"/>
  <c r="B77"/>
  <c r="O77" s="1"/>
  <c r="B78"/>
  <c r="N78" s="1"/>
  <c r="B79"/>
  <c r="O79" s="1"/>
  <c r="B80"/>
  <c r="N80" s="1"/>
  <c r="B81"/>
  <c r="O81" s="1"/>
  <c r="B82"/>
  <c r="N82" s="1"/>
  <c r="B83"/>
  <c r="O83" s="1"/>
  <c r="B84"/>
  <c r="N84" s="1"/>
  <c r="B85"/>
  <c r="O85" s="1"/>
  <c r="B86"/>
  <c r="N86" s="1"/>
  <c r="B87"/>
  <c r="O87" s="1"/>
  <c r="B88"/>
  <c r="N88" s="1"/>
  <c r="B89"/>
  <c r="O89" s="1"/>
  <c r="B90"/>
  <c r="O90" s="1"/>
  <c r="B91"/>
  <c r="O91" s="1"/>
  <c r="B92"/>
  <c r="N92" s="1"/>
  <c r="B93"/>
  <c r="O93" s="1"/>
  <c r="B94"/>
  <c r="N94" s="1"/>
  <c r="B95"/>
  <c r="O95" s="1"/>
  <c r="B96"/>
  <c r="N96" s="1"/>
  <c r="B97"/>
  <c r="O97" s="1"/>
  <c r="B98"/>
  <c r="O98" s="1"/>
  <c r="B99"/>
  <c r="O99" s="1"/>
  <c r="B100"/>
  <c r="N100" s="1"/>
  <c r="B101"/>
  <c r="N101" s="1"/>
  <c r="B2"/>
  <c r="O80"/>
  <c r="O74"/>
  <c r="O64"/>
  <c r="O58"/>
  <c r="O48"/>
  <c r="O42"/>
  <c r="N33"/>
  <c r="O30"/>
  <c r="A46"/>
  <c r="A54"/>
  <c r="A86"/>
  <c r="A98"/>
  <c r="A31"/>
  <c r="A84"/>
  <c r="A76"/>
  <c r="A64"/>
  <c r="A52"/>
  <c r="A44"/>
  <c r="A32"/>
  <c r="A88"/>
  <c r="O44"/>
  <c r="O60"/>
  <c r="O76"/>
  <c r="A40"/>
  <c r="O100"/>
  <c r="A90"/>
  <c r="A58"/>
  <c r="O40"/>
  <c r="O56"/>
  <c r="O72"/>
  <c r="O96"/>
  <c r="B72" i="6"/>
  <c r="C24" i="7"/>
  <c r="C58" i="8"/>
  <c r="C26"/>
  <c r="B100" i="6"/>
  <c r="B92"/>
  <c r="B84"/>
  <c r="B76"/>
  <c r="B73" i="7"/>
  <c r="B41"/>
  <c r="B35" i="8"/>
  <c r="AC141" i="3"/>
  <c r="AF103"/>
  <c r="AG119"/>
  <c r="U135"/>
  <c r="AF128"/>
  <c r="Y141"/>
  <c r="AC134"/>
  <c r="U109"/>
  <c r="AE121"/>
  <c r="AB118"/>
  <c r="AI118"/>
  <c r="AF109"/>
  <c r="W107"/>
  <c r="AA129"/>
  <c r="AE129"/>
  <c r="AA134"/>
  <c r="AA108"/>
  <c r="AA127"/>
  <c r="AI114"/>
  <c r="Y126"/>
  <c r="U138"/>
  <c r="AC128"/>
  <c r="AA104"/>
  <c r="AA126"/>
  <c r="AA120"/>
  <c r="AE114"/>
  <c r="X119"/>
  <c r="AH122"/>
  <c r="W104"/>
  <c r="V140"/>
  <c r="AA123"/>
  <c r="AG140"/>
  <c r="AF108"/>
  <c r="W142"/>
  <c r="AB105"/>
  <c r="AC109"/>
  <c r="AE107"/>
  <c r="AH133"/>
  <c r="W141"/>
  <c r="X133"/>
  <c r="V122"/>
  <c r="V119"/>
  <c r="AF110"/>
  <c r="AB128"/>
  <c r="AG105"/>
  <c r="AF131"/>
  <c r="Y110"/>
  <c r="AI121"/>
  <c r="AB106"/>
  <c r="AI126"/>
  <c r="AH138"/>
  <c r="Y138"/>
  <c r="AF111"/>
  <c r="AH139"/>
  <c r="U140"/>
  <c r="W129"/>
  <c r="AI119"/>
  <c r="U137"/>
  <c r="W125"/>
  <c r="AD121"/>
  <c r="Z142"/>
  <c r="AF138"/>
  <c r="W124"/>
  <c r="AB112"/>
  <c r="AH123"/>
  <c r="X138"/>
  <c r="AB141"/>
  <c r="AE117"/>
  <c r="AE128"/>
  <c r="AH121"/>
  <c r="AF106"/>
  <c r="U104"/>
  <c r="AC137"/>
  <c r="AG130"/>
  <c r="X134"/>
  <c r="Y140"/>
  <c r="AF112"/>
  <c r="V128"/>
  <c r="X116"/>
  <c r="AH116"/>
  <c r="AE136"/>
  <c r="AC111"/>
  <c r="Y142"/>
  <c r="AB120"/>
  <c r="AA110"/>
  <c r="AI131"/>
  <c r="X121"/>
  <c r="AH111"/>
  <c r="V127"/>
  <c r="Z125"/>
  <c r="AH117"/>
  <c r="AH131"/>
  <c r="AI104"/>
  <c r="AC140"/>
  <c r="W103"/>
  <c r="W133"/>
  <c r="AG122"/>
  <c r="AA141"/>
  <c r="AC125"/>
  <c r="AD106"/>
  <c r="AH110"/>
  <c r="U122"/>
  <c r="U103"/>
  <c r="X115"/>
  <c r="AG117"/>
  <c r="Z121"/>
  <c r="W137"/>
  <c r="AD142"/>
  <c r="AD118"/>
  <c r="U131"/>
  <c r="AB117"/>
  <c r="Y132"/>
  <c r="U133"/>
  <c r="Y127"/>
  <c r="AH132"/>
  <c r="AD114"/>
  <c r="U136"/>
  <c r="AD111"/>
  <c r="AG134"/>
  <c r="AD109"/>
  <c r="Z127"/>
  <c r="AE115"/>
  <c r="Y121"/>
  <c r="X112"/>
  <c r="Z109"/>
  <c r="AG132"/>
  <c r="AI106"/>
  <c r="X140"/>
  <c r="AD104"/>
  <c r="AD107"/>
  <c r="AI125"/>
  <c r="AF118"/>
  <c r="AF114"/>
  <c r="Y103"/>
  <c r="W116"/>
  <c r="AB140"/>
  <c r="AF130"/>
  <c r="X120"/>
  <c r="AF116"/>
  <c r="AG128"/>
  <c r="AC131"/>
  <c r="X130"/>
  <c r="AE142"/>
  <c r="W140"/>
  <c r="AC126"/>
  <c r="AC133"/>
  <c r="AI135"/>
  <c r="X142"/>
  <c r="AC118"/>
  <c r="V104"/>
  <c r="AH128"/>
  <c r="Y119"/>
  <c r="AB129"/>
  <c r="AC138"/>
  <c r="AB127"/>
  <c r="Z114"/>
  <c r="AI139"/>
  <c r="W135"/>
  <c r="V136"/>
  <c r="Z131"/>
  <c r="Y136"/>
  <c r="AI141"/>
  <c r="U128"/>
  <c r="X113"/>
  <c r="U108"/>
  <c r="AB104"/>
  <c r="AI130"/>
  <c r="AF119"/>
  <c r="AC112"/>
  <c r="V123"/>
  <c r="AD141"/>
  <c r="X114"/>
  <c r="AE132"/>
  <c r="Z119"/>
  <c r="AF133"/>
  <c r="V141"/>
  <c r="AB124"/>
  <c r="AH118"/>
  <c r="X103"/>
  <c r="AG131"/>
  <c r="V135"/>
  <c r="X128"/>
  <c r="AC113"/>
  <c r="Y125"/>
  <c r="AH124"/>
  <c r="AG135"/>
  <c r="AH109"/>
  <c r="V112"/>
  <c r="Y111"/>
  <c r="AG126"/>
  <c r="W106"/>
  <c r="W118"/>
  <c r="AC123"/>
  <c r="V139"/>
  <c r="AF104"/>
  <c r="AB142"/>
  <c r="Z120"/>
  <c r="V109"/>
  <c r="Z117"/>
  <c r="AD135"/>
  <c r="AF107"/>
  <c r="Y112"/>
  <c r="W126"/>
  <c r="U111"/>
  <c r="U130"/>
  <c r="AG121"/>
  <c r="AF124"/>
  <c r="AG113"/>
  <c r="AA121"/>
  <c r="AE105"/>
  <c r="Z115"/>
  <c r="AA133"/>
  <c r="X136"/>
  <c r="Y134"/>
  <c r="AI123"/>
  <c r="Z108"/>
  <c r="Y107"/>
  <c r="U141"/>
  <c r="AF137"/>
  <c r="AH113"/>
  <c r="V113"/>
  <c r="AI138"/>
  <c r="AA117"/>
  <c r="AF113"/>
  <c r="V108"/>
  <c r="AG116"/>
  <c r="Y117"/>
  <c r="AI142"/>
  <c r="AB107"/>
  <c r="AG129"/>
  <c r="AB131"/>
  <c r="V106"/>
  <c r="X127"/>
  <c r="AB132"/>
  <c r="AB103"/>
  <c r="AG136"/>
  <c r="AD117"/>
  <c r="Z112"/>
  <c r="AH112"/>
  <c r="Z124"/>
  <c r="AC120"/>
  <c r="AF135"/>
  <c r="AA113"/>
  <c r="Z137"/>
  <c r="AF129"/>
  <c r="AD126"/>
  <c r="U124"/>
  <c r="AA125"/>
  <c r="AF121"/>
  <c r="AH125"/>
  <c r="AD110"/>
  <c r="U105"/>
  <c r="AE112"/>
  <c r="AG111"/>
  <c r="V121"/>
  <c r="AC139"/>
  <c r="AF117"/>
  <c r="X118"/>
  <c r="U119"/>
  <c r="W105"/>
  <c r="AB110"/>
  <c r="Y114"/>
  <c r="AF139"/>
  <c r="AC122"/>
  <c r="V111"/>
  <c r="Z130"/>
  <c r="AD123"/>
  <c r="Y116"/>
  <c r="X132"/>
  <c r="Y137"/>
  <c r="AA103"/>
  <c r="Y133"/>
  <c r="U117"/>
  <c r="AG142"/>
  <c r="AE134"/>
  <c r="X124"/>
  <c r="AF136"/>
  <c r="Z140"/>
  <c r="AG123"/>
  <c r="W139"/>
  <c r="AB115"/>
  <c r="AD138"/>
  <c r="AC135"/>
  <c r="AG118"/>
  <c r="AD134"/>
  <c r="W117"/>
  <c r="Z111"/>
  <c r="W108"/>
  <c r="AE123"/>
  <c r="Y124"/>
  <c r="U139"/>
  <c r="AI117"/>
  <c r="AD108"/>
  <c r="Y128"/>
  <c r="AD137"/>
  <c r="AB123"/>
  <c r="AB113"/>
  <c r="AD133"/>
  <c r="AA139"/>
  <c r="AH119"/>
  <c r="AC129"/>
  <c r="AA119"/>
  <c r="AI112"/>
  <c r="U107"/>
  <c r="AA137"/>
  <c r="AD115"/>
  <c r="Z104"/>
  <c r="Z110"/>
  <c r="AI107"/>
  <c r="AE124"/>
  <c r="Z113"/>
  <c r="AI109"/>
  <c r="AA130"/>
  <c r="W115"/>
  <c r="Z138"/>
  <c r="AF125"/>
  <c r="AA124"/>
  <c r="AC115"/>
  <c r="AF123"/>
  <c r="V129"/>
  <c r="X111"/>
  <c r="X110"/>
  <c r="AF132"/>
  <c r="AA111"/>
  <c r="AE139"/>
  <c r="AH115"/>
  <c r="AF122"/>
  <c r="AH129"/>
  <c r="AF115"/>
  <c r="AE127"/>
  <c r="AG109"/>
  <c r="Z123"/>
  <c r="Z128"/>
  <c r="AE119"/>
  <c r="X123"/>
  <c r="AF120"/>
  <c r="AE116"/>
  <c r="AB136"/>
  <c r="AA109"/>
  <c r="AB138"/>
  <c r="AF126"/>
  <c r="AA138"/>
  <c r="Z122"/>
  <c r="V114"/>
  <c r="U114"/>
  <c r="U126"/>
  <c r="V103"/>
  <c r="AD105"/>
  <c r="AB137"/>
  <c r="W112"/>
  <c r="V105"/>
  <c r="V126"/>
  <c r="AE108"/>
  <c r="AA114"/>
  <c r="AC132"/>
  <c r="AE104"/>
  <c r="AI115"/>
  <c r="U129"/>
  <c r="AD130"/>
  <c r="AI120"/>
  <c r="AI108"/>
  <c r="U142"/>
  <c r="Y118"/>
  <c r="AD140"/>
  <c r="Z118"/>
  <c r="AE111"/>
  <c r="AC130"/>
  <c r="Y104"/>
  <c r="AH136"/>
  <c r="AH140"/>
  <c r="AB116"/>
  <c r="U125"/>
  <c r="W122"/>
  <c r="AF134"/>
  <c r="Y131"/>
  <c r="Z133"/>
  <c r="V131"/>
  <c r="Y130"/>
  <c r="AD119"/>
  <c r="AI133"/>
  <c r="V118"/>
  <c r="AA116"/>
  <c r="W123"/>
  <c r="X141"/>
  <c r="AA142"/>
  <c r="X122"/>
  <c r="Z136"/>
  <c r="W132"/>
  <c r="AG139"/>
  <c r="V117"/>
  <c r="AC121"/>
  <c r="AE141"/>
  <c r="AH104"/>
  <c r="AA107"/>
  <c r="V125"/>
  <c r="AC106"/>
  <c r="AD139"/>
  <c r="AG124"/>
  <c r="AD103"/>
  <c r="AI137"/>
  <c r="U112"/>
  <c r="AD116"/>
  <c r="Y108"/>
  <c r="AE140"/>
  <c r="U118"/>
  <c r="AG112"/>
  <c r="AH120"/>
  <c r="V132"/>
  <c r="X139"/>
  <c r="AG103"/>
  <c r="AI132"/>
  <c r="AF141"/>
  <c r="AB125"/>
  <c r="W120"/>
  <c r="AC119"/>
  <c r="AG107"/>
  <c r="AE118"/>
  <c r="AA140"/>
  <c r="V138"/>
  <c r="V115"/>
  <c r="AH106"/>
  <c r="AI110"/>
  <c r="W113"/>
  <c r="AB130"/>
  <c r="AI105"/>
  <c r="AB121"/>
  <c r="Z103"/>
  <c r="AA105"/>
  <c r="Y129"/>
  <c r="Y105"/>
  <c r="AC124"/>
  <c r="AD132"/>
  <c r="V116"/>
  <c r="V134"/>
  <c r="AA136"/>
  <c r="AA112"/>
  <c r="AC117"/>
  <c r="X108"/>
  <c r="AG114"/>
  <c r="AC107"/>
  <c r="V133"/>
  <c r="Y113"/>
  <c r="AG115"/>
  <c r="AD127"/>
  <c r="W138"/>
  <c r="U120"/>
  <c r="AC136"/>
  <c r="Z132"/>
  <c r="AE130"/>
  <c r="AD120"/>
  <c r="AB119"/>
  <c r="U115"/>
  <c r="AE133"/>
  <c r="U132"/>
  <c r="U110"/>
  <c r="AB134"/>
  <c r="AA132"/>
  <c r="Z126"/>
  <c r="AI136"/>
  <c r="AB126"/>
  <c r="X125"/>
  <c r="AC103"/>
  <c r="AI129"/>
  <c r="AH103"/>
  <c r="AG127"/>
  <c r="U116"/>
  <c r="AI116"/>
  <c r="X106"/>
  <c r="V142"/>
  <c r="AG106"/>
  <c r="W136"/>
  <c r="AG120"/>
  <c r="AE138"/>
  <c r="AG104"/>
  <c r="W119"/>
  <c r="AI140"/>
  <c r="AC142"/>
  <c r="AA106"/>
  <c r="W121"/>
  <c r="AE126"/>
  <c r="AE103"/>
  <c r="AA135"/>
  <c r="AC104"/>
  <c r="AD128"/>
  <c r="Z141"/>
  <c r="Y115"/>
  <c r="Y120"/>
  <c r="W111"/>
  <c r="Z116"/>
  <c r="AD136"/>
  <c r="W109"/>
  <c r="AC105"/>
  <c r="U121"/>
  <c r="U106"/>
  <c r="AC127"/>
  <c r="AE137"/>
  <c r="AH107"/>
  <c r="X107"/>
  <c r="V130"/>
  <c r="Y135"/>
  <c r="AF140"/>
  <c r="V137"/>
  <c r="W110"/>
  <c r="AI111"/>
  <c r="AI122"/>
  <c r="AI113"/>
  <c r="AD124"/>
  <c r="AC110"/>
  <c r="AD129"/>
  <c r="W127"/>
  <c r="X129"/>
  <c r="AH105"/>
  <c r="Z106"/>
  <c r="W134"/>
  <c r="AI124"/>
  <c r="AB108"/>
  <c r="AC108"/>
  <c r="AG137"/>
  <c r="AB111"/>
  <c r="AH142"/>
  <c r="Y123"/>
  <c r="AI127"/>
  <c r="AD122"/>
  <c r="AE109"/>
  <c r="AH141"/>
  <c r="AE122"/>
  <c r="AF105"/>
  <c r="Z135"/>
  <c r="AA128"/>
  <c r="AB139"/>
  <c r="Y109"/>
  <c r="AB114"/>
  <c r="AD112"/>
  <c r="Z134"/>
  <c r="AB133"/>
  <c r="AH127"/>
  <c r="AG133"/>
  <c r="AD131"/>
  <c r="AG125"/>
  <c r="AC116"/>
  <c r="Z107"/>
  <c r="AD125"/>
  <c r="Z129"/>
  <c r="U113"/>
  <c r="AH126"/>
  <c r="AA131"/>
  <c r="Y106"/>
  <c r="AA122"/>
  <c r="AF142"/>
  <c r="AC114"/>
  <c r="X137"/>
  <c r="U134"/>
  <c r="W128"/>
  <c r="AG110"/>
  <c r="X104"/>
  <c r="AB122"/>
  <c r="W130"/>
  <c r="AB135"/>
  <c r="Z139"/>
  <c r="AH137"/>
  <c r="V110"/>
  <c r="AH108"/>
  <c r="Y122"/>
  <c r="X105"/>
  <c r="X117"/>
  <c r="AA115"/>
  <c r="AE120"/>
  <c r="AE135"/>
  <c r="Z105"/>
  <c r="X135"/>
  <c r="X126"/>
  <c r="AI128"/>
  <c r="AE106"/>
  <c r="U123"/>
  <c r="AI103"/>
  <c r="AE110"/>
  <c r="W114"/>
  <c r="AE125"/>
  <c r="AD113"/>
  <c r="Y139"/>
  <c r="AI134"/>
  <c r="AH134"/>
  <c r="V124"/>
  <c r="AH130"/>
  <c r="AF127"/>
  <c r="AG108"/>
  <c r="X109"/>
  <c r="U127"/>
  <c r="W131"/>
  <c r="X131"/>
  <c r="V107"/>
  <c r="AE131"/>
  <c r="AA118"/>
  <c r="V120"/>
  <c r="AG138"/>
  <c r="AE113"/>
  <c r="AG141"/>
  <c r="AH135"/>
  <c r="AB109"/>
  <c r="AH114"/>
  <c r="A19"/>
  <c r="O17"/>
  <c r="C50" i="8" l="1"/>
  <c r="C98"/>
  <c r="B99"/>
  <c r="B47" i="6"/>
  <c r="C42" i="8"/>
  <c r="C82"/>
  <c r="B88" i="7"/>
  <c r="C18" i="8"/>
  <c r="B67"/>
  <c r="B15" i="6"/>
  <c r="C34" i="8"/>
  <c r="C66"/>
  <c r="B48" i="7"/>
  <c r="A25" i="3"/>
  <c r="A72"/>
  <c r="A66"/>
  <c r="A41"/>
  <c r="N37"/>
  <c r="N53"/>
  <c r="N69"/>
  <c r="N90"/>
  <c r="N21"/>
  <c r="A78"/>
  <c r="A34"/>
  <c r="O34"/>
  <c r="O50"/>
  <c r="O66"/>
  <c r="O82"/>
  <c r="B43" i="8"/>
  <c r="B75"/>
  <c r="B17" i="7"/>
  <c r="B49"/>
  <c r="B81"/>
  <c r="B23" i="6"/>
  <c r="B55"/>
  <c r="B27" i="8"/>
  <c r="B59"/>
  <c r="B91"/>
  <c r="B33" i="7"/>
  <c r="B65"/>
  <c r="B97"/>
  <c r="B39" i="6"/>
  <c r="B19" i="8"/>
  <c r="B51"/>
  <c r="B83"/>
  <c r="B25" i="7"/>
  <c r="B57"/>
  <c r="B89"/>
  <c r="B31" i="6"/>
  <c r="B71"/>
  <c r="A27" i="3"/>
  <c r="N27"/>
  <c r="O25"/>
  <c r="N23"/>
  <c r="A85"/>
  <c r="N87"/>
  <c r="A33"/>
  <c r="N31"/>
  <c r="O29"/>
  <c r="N29"/>
  <c r="A23"/>
  <c r="O88"/>
  <c r="O70"/>
  <c r="O54"/>
  <c r="O38"/>
  <c r="A42"/>
  <c r="A74"/>
  <c r="A100"/>
  <c r="A92"/>
  <c r="A56"/>
  <c r="A87"/>
  <c r="N85"/>
  <c r="O68"/>
  <c r="O52"/>
  <c r="O36"/>
  <c r="O84"/>
  <c r="A36"/>
  <c r="A48"/>
  <c r="A60"/>
  <c r="A68"/>
  <c r="A80"/>
  <c r="A96"/>
  <c r="O92"/>
  <c r="A94"/>
  <c r="A82"/>
  <c r="A70"/>
  <c r="A62"/>
  <c r="A50"/>
  <c r="A38"/>
  <c r="O32"/>
  <c r="O46"/>
  <c r="O62"/>
  <c r="O78"/>
  <c r="O86"/>
  <c r="O94"/>
  <c r="B80" i="6"/>
  <c r="B88"/>
  <c r="B96"/>
  <c r="C14" i="8"/>
  <c r="C22"/>
  <c r="C30"/>
  <c r="C38"/>
  <c r="C46"/>
  <c r="C54"/>
  <c r="C62"/>
  <c r="C74"/>
  <c r="C90"/>
  <c r="C16" i="7"/>
  <c r="C32"/>
  <c r="B64"/>
  <c r="B46" i="6"/>
  <c r="B15" i="8"/>
  <c r="B23"/>
  <c r="B31"/>
  <c r="B39"/>
  <c r="B47"/>
  <c r="B55"/>
  <c r="B63"/>
  <c r="B71"/>
  <c r="B79"/>
  <c r="B87"/>
  <c r="B95"/>
  <c r="B13" i="7"/>
  <c r="B21"/>
  <c r="B29"/>
  <c r="B37"/>
  <c r="B45"/>
  <c r="B53"/>
  <c r="B61"/>
  <c r="B69"/>
  <c r="B77"/>
  <c r="B85"/>
  <c r="B93"/>
  <c r="B11"/>
  <c r="B19" i="6"/>
  <c r="B27"/>
  <c r="B35"/>
  <c r="B43"/>
  <c r="B51"/>
  <c r="B63"/>
  <c r="B59"/>
  <c r="B67"/>
  <c r="B83"/>
  <c r="B17" i="8"/>
  <c r="B21"/>
  <c r="B25"/>
  <c r="B29"/>
  <c r="B33"/>
  <c r="B37"/>
  <c r="B41"/>
  <c r="B45"/>
  <c r="B49"/>
  <c r="B53"/>
  <c r="B57"/>
  <c r="B61"/>
  <c r="B65"/>
  <c r="B69"/>
  <c r="B73"/>
  <c r="B77"/>
  <c r="B81"/>
  <c r="B85"/>
  <c r="B89"/>
  <c r="B93"/>
  <c r="B97"/>
  <c r="B11"/>
  <c r="B15" i="7"/>
  <c r="B19"/>
  <c r="B23"/>
  <c r="B27"/>
  <c r="B31"/>
  <c r="B35"/>
  <c r="B39"/>
  <c r="B43"/>
  <c r="B47"/>
  <c r="B51"/>
  <c r="B55"/>
  <c r="B59"/>
  <c r="B63"/>
  <c r="B67"/>
  <c r="B71"/>
  <c r="B75"/>
  <c r="B79"/>
  <c r="B83"/>
  <c r="B87"/>
  <c r="B91"/>
  <c r="B95"/>
  <c r="B99"/>
  <c r="B13" i="6"/>
  <c r="B17"/>
  <c r="B21"/>
  <c r="B25"/>
  <c r="B29"/>
  <c r="B33"/>
  <c r="B37"/>
  <c r="B41"/>
  <c r="B45"/>
  <c r="B49"/>
  <c r="B53"/>
  <c r="B57"/>
  <c r="B61"/>
  <c r="B65"/>
  <c r="B69"/>
  <c r="N51" i="3"/>
  <c r="A75"/>
  <c r="A51"/>
  <c r="A81"/>
  <c r="A24"/>
  <c r="A69"/>
  <c r="A99"/>
  <c r="A95"/>
  <c r="A97"/>
  <c r="A61"/>
  <c r="B13" i="8"/>
  <c r="B74" i="6"/>
  <c r="B78"/>
  <c r="B82"/>
  <c r="B86"/>
  <c r="B90"/>
  <c r="B94"/>
  <c r="B98"/>
  <c r="B99"/>
  <c r="C70" i="8"/>
  <c r="C78"/>
  <c r="C86"/>
  <c r="C94"/>
  <c r="C12" i="7"/>
  <c r="C20"/>
  <c r="C28"/>
  <c r="B40"/>
  <c r="B56"/>
  <c r="B72"/>
  <c r="B14" i="6"/>
  <c r="B75"/>
  <c r="B91"/>
  <c r="B30"/>
  <c r="B62"/>
  <c r="B80" i="7"/>
  <c r="B96"/>
  <c r="B22" i="6"/>
  <c r="B38"/>
  <c r="B54"/>
  <c r="B70"/>
  <c r="N26" i="3"/>
  <c r="N99"/>
  <c r="N91"/>
  <c r="N83"/>
  <c r="A37"/>
  <c r="A67"/>
  <c r="A55"/>
  <c r="N97"/>
  <c r="A89"/>
  <c r="O101"/>
  <c r="A43"/>
  <c r="A63"/>
  <c r="A101"/>
  <c r="A91"/>
  <c r="A73"/>
  <c r="A49"/>
  <c r="N41"/>
  <c r="N43"/>
  <c r="N57"/>
  <c r="N59"/>
  <c r="N73"/>
  <c r="N75"/>
  <c r="B79" i="6"/>
  <c r="B87"/>
  <c r="B95"/>
  <c r="C16" i="8"/>
  <c r="C20"/>
  <c r="C24"/>
  <c r="C28"/>
  <c r="C32"/>
  <c r="C36"/>
  <c r="C40"/>
  <c r="C44"/>
  <c r="C48"/>
  <c r="C52"/>
  <c r="C56"/>
  <c r="C60"/>
  <c r="C64"/>
  <c r="C68"/>
  <c r="C72"/>
  <c r="C76"/>
  <c r="C80"/>
  <c r="C84"/>
  <c r="C88"/>
  <c r="C92"/>
  <c r="C96"/>
  <c r="C100"/>
  <c r="C14" i="7"/>
  <c r="C18"/>
  <c r="C22"/>
  <c r="C26"/>
  <c r="C30"/>
  <c r="B36"/>
  <c r="B44"/>
  <c r="B52"/>
  <c r="B60"/>
  <c r="B68"/>
  <c r="B76"/>
  <c r="B84"/>
  <c r="B92"/>
  <c r="B100"/>
  <c r="B18" i="6"/>
  <c r="B26"/>
  <c r="B34"/>
  <c r="B42"/>
  <c r="B50"/>
  <c r="B58"/>
  <c r="B66"/>
  <c r="C12" i="8"/>
  <c r="B73" i="6"/>
  <c r="B77"/>
  <c r="B81"/>
  <c r="B85"/>
  <c r="B89"/>
  <c r="B93"/>
  <c r="B97"/>
  <c r="B11"/>
  <c r="B34" i="7"/>
  <c r="B38"/>
  <c r="B42"/>
  <c r="B46"/>
  <c r="B50"/>
  <c r="B54"/>
  <c r="B58"/>
  <c r="B62"/>
  <c r="B66"/>
  <c r="B70"/>
  <c r="B74"/>
  <c r="B78"/>
  <c r="B82"/>
  <c r="B86"/>
  <c r="B90"/>
  <c r="B94"/>
  <c r="B98"/>
  <c r="B12" i="6"/>
  <c r="B16"/>
  <c r="B20"/>
  <c r="B24"/>
  <c r="B28"/>
  <c r="B32"/>
  <c r="B36"/>
  <c r="B40"/>
  <c r="B44"/>
  <c r="B48"/>
  <c r="B52"/>
  <c r="B56"/>
  <c r="B60"/>
  <c r="B64"/>
  <c r="B68"/>
  <c r="O28" i="3"/>
  <c r="A28"/>
  <c r="A26"/>
  <c r="N24"/>
  <c r="N67"/>
  <c r="N35"/>
  <c r="A53"/>
  <c r="A93"/>
  <c r="A35"/>
  <c r="A39"/>
  <c r="A71"/>
  <c r="N93"/>
  <c r="N89"/>
  <c r="A59"/>
  <c r="N95"/>
  <c r="A79"/>
  <c r="A47"/>
  <c r="A83"/>
  <c r="A30"/>
  <c r="A77"/>
  <c r="A65"/>
  <c r="A57"/>
  <c r="A45"/>
  <c r="N39"/>
  <c r="N45"/>
  <c r="N47"/>
  <c r="N49"/>
  <c r="N55"/>
  <c r="N61"/>
  <c r="N63"/>
  <c r="N65"/>
  <c r="N71"/>
  <c r="N77"/>
  <c r="N79"/>
  <c r="N81"/>
  <c r="N98"/>
  <c r="N22"/>
  <c r="A22"/>
  <c r="O21"/>
  <c r="O19"/>
  <c r="A18"/>
  <c r="N19"/>
  <c r="O18"/>
  <c r="N17"/>
  <c r="A15" l="1"/>
  <c r="O14"/>
  <c r="A16"/>
  <c r="N15"/>
  <c r="N14"/>
  <c r="O15"/>
  <c r="A14"/>
  <c r="O16"/>
  <c r="AB102"/>
  <c r="AC102"/>
  <c r="AA102"/>
  <c r="AF102"/>
  <c r="X102"/>
  <c r="AD102"/>
  <c r="Y102"/>
  <c r="AF101"/>
  <c r="W101"/>
  <c r="AB101"/>
  <c r="U101"/>
  <c r="AD101"/>
  <c r="AG101"/>
  <c r="V101"/>
  <c r="AI101"/>
  <c r="Z100"/>
  <c r="Z99"/>
  <c r="Z98"/>
  <c r="AH98"/>
  <c r="AI99"/>
  <c r="AH100"/>
  <c r="Y99"/>
  <c r="Y98"/>
  <c r="V100"/>
  <c r="AD99"/>
  <c r="V98"/>
  <c r="AG99"/>
  <c r="W100"/>
  <c r="W99"/>
  <c r="U99"/>
  <c r="W98"/>
  <c r="Y100"/>
  <c r="AB99"/>
  <c r="AF100"/>
  <c r="AG98"/>
  <c r="AE100"/>
  <c r="AC99"/>
  <c r="AD97"/>
  <c r="AE97"/>
  <c r="AF96"/>
  <c r="AB95"/>
  <c r="U97"/>
  <c r="AE96"/>
  <c r="AG96"/>
  <c r="Z95"/>
  <c r="AC97"/>
  <c r="AG95"/>
  <c r="Y96"/>
  <c r="AD96"/>
  <c r="AD95"/>
  <c r="AB96"/>
  <c r="AH95"/>
  <c r="AI96"/>
  <c r="U96"/>
  <c r="W96"/>
  <c r="AA95"/>
  <c r="W95"/>
  <c r="Y97"/>
  <c r="V96"/>
  <c r="Z96"/>
  <c r="W94"/>
  <c r="AE94"/>
  <c r="U94"/>
  <c r="AD94"/>
  <c r="AB94"/>
  <c r="Y94"/>
  <c r="AF94"/>
  <c r="W91"/>
  <c r="AE92"/>
  <c r="AG93"/>
  <c r="U91"/>
  <c r="AC93"/>
  <c r="AA93"/>
  <c r="Z91"/>
  <c r="AD93"/>
  <c r="Y93"/>
  <c r="AG92"/>
  <c r="AA91"/>
  <c r="U93"/>
  <c r="Y90"/>
  <c r="AB91"/>
  <c r="AF90"/>
  <c r="V93"/>
  <c r="AB90"/>
  <c r="AF91"/>
  <c r="U90"/>
  <c r="AH93"/>
  <c r="V90"/>
  <c r="V91"/>
  <c r="AI90"/>
  <c r="Z90"/>
  <c r="AE90"/>
  <c r="AE91"/>
  <c r="AH92"/>
  <c r="AE93"/>
  <c r="AD92"/>
  <c r="AC92"/>
  <c r="AB89"/>
  <c r="Z89"/>
  <c r="AC89"/>
  <c r="Y89"/>
  <c r="AD89"/>
  <c r="AF89"/>
  <c r="X89"/>
  <c r="U89"/>
  <c r="AI86"/>
  <c r="AH82"/>
  <c r="AC75"/>
  <c r="Z70"/>
  <c r="V68"/>
  <c r="AF86"/>
  <c r="V86"/>
  <c r="AC79"/>
  <c r="AI75"/>
  <c r="AH69"/>
  <c r="AH68"/>
  <c r="U62"/>
  <c r="AE59"/>
  <c r="V63"/>
  <c r="U59"/>
  <c r="U85"/>
  <c r="AF82"/>
  <c r="AF76"/>
  <c r="Z69"/>
  <c r="AA68"/>
  <c r="U87"/>
  <c r="AG87"/>
  <c r="AB81"/>
  <c r="AC76"/>
  <c r="AD73"/>
  <c r="AI67"/>
  <c r="AB63"/>
  <c r="AI58"/>
  <c r="AE64"/>
  <c r="AI83"/>
  <c r="Y81"/>
  <c r="W76"/>
  <c r="AF73"/>
  <c r="Z67"/>
  <c r="AI88"/>
  <c r="W86"/>
  <c r="AB80"/>
  <c r="U76"/>
  <c r="AB73"/>
  <c r="Z66"/>
  <c r="AE61"/>
  <c r="AF60"/>
  <c r="Z64"/>
  <c r="AG60"/>
  <c r="Y77"/>
  <c r="AE86"/>
  <c r="AC67"/>
  <c r="AC60"/>
  <c r="AA88"/>
  <c r="AH74"/>
  <c r="AH78"/>
  <c r="AD64"/>
  <c r="AF58"/>
  <c r="AG78"/>
  <c r="AG84"/>
  <c r="AB68"/>
  <c r="X57"/>
  <c r="AE63"/>
  <c r="Z79"/>
  <c r="AB61"/>
  <c r="AA83"/>
  <c r="Z84"/>
  <c r="W80"/>
  <c r="W77"/>
  <c r="Y69"/>
  <c r="AE68"/>
  <c r="AD88"/>
  <c r="AD87"/>
  <c r="AI82"/>
  <c r="AG75"/>
  <c r="W71"/>
  <c r="V67"/>
  <c r="AH63"/>
  <c r="W60"/>
  <c r="W62"/>
  <c r="X60"/>
  <c r="W84"/>
  <c r="AG77"/>
  <c r="AI77"/>
  <c r="AF70"/>
  <c r="AD68"/>
  <c r="W88"/>
  <c r="AI84"/>
  <c r="V82"/>
  <c r="AD75"/>
  <c r="W69"/>
  <c r="Z68"/>
  <c r="W64"/>
  <c r="AD57"/>
  <c r="Z63"/>
  <c r="AE85"/>
  <c r="AD79"/>
  <c r="V78"/>
  <c r="AG69"/>
  <c r="U68"/>
  <c r="X88"/>
  <c r="AB84"/>
  <c r="AF78"/>
  <c r="X76"/>
  <c r="AG73"/>
  <c r="Y68"/>
  <c r="AD61"/>
  <c r="AB60"/>
  <c r="AH61"/>
  <c r="X59"/>
  <c r="X79"/>
  <c r="AH86"/>
  <c r="AC70"/>
  <c r="AG58"/>
  <c r="AA81"/>
  <c r="AA65"/>
  <c r="AI69"/>
  <c r="AG62"/>
  <c r="V81"/>
  <c r="AH85"/>
  <c r="W74"/>
  <c r="AI61"/>
  <c r="AB69"/>
  <c r="Y60"/>
  <c r="AA71"/>
  <c r="AE87"/>
  <c r="AA78"/>
  <c r="U82"/>
  <c r="AG74"/>
  <c r="Y70"/>
  <c r="Z88"/>
  <c r="Z83"/>
  <c r="AA79"/>
  <c r="AI71"/>
  <c r="Z80"/>
  <c r="V74"/>
  <c r="Y63"/>
  <c r="AI63"/>
  <c r="AA85"/>
  <c r="AF81"/>
  <c r="AD70"/>
  <c r="AH87"/>
  <c r="Y76"/>
  <c r="AC66"/>
  <c r="AF57"/>
  <c r="X86"/>
  <c r="AD81"/>
  <c r="AD69"/>
  <c r="V85"/>
  <c r="AE76"/>
  <c r="W66"/>
  <c r="W59"/>
  <c r="Z60"/>
  <c r="AB88"/>
  <c r="Y61"/>
  <c r="Y80"/>
  <c r="W102"/>
  <c r="V102"/>
  <c r="AH102"/>
  <c r="AE102"/>
  <c r="AA101"/>
  <c r="Y101"/>
  <c r="Z101"/>
  <c r="U98"/>
  <c r="AH99"/>
  <c r="AA99"/>
  <c r="AB98"/>
  <c r="X100"/>
  <c r="AC98"/>
  <c r="AI100"/>
  <c r="AE98"/>
  <c r="AA98"/>
  <c r="AA100"/>
  <c r="V99"/>
  <c r="AB100"/>
  <c r="X97"/>
  <c r="Z97"/>
  <c r="AI97"/>
  <c r="AC95"/>
  <c r="AH96"/>
  <c r="AA96"/>
  <c r="X95"/>
  <c r="U95"/>
  <c r="W97"/>
  <c r="AG97"/>
  <c r="AI95"/>
  <c r="AI94"/>
  <c r="AC94"/>
  <c r="X94"/>
  <c r="AH94"/>
  <c r="AC90"/>
  <c r="AA90"/>
  <c r="AD90"/>
  <c r="AB92"/>
  <c r="Y92"/>
  <c r="Z93"/>
  <c r="AF93"/>
  <c r="AC91"/>
  <c r="AI92"/>
  <c r="Z92"/>
  <c r="U92"/>
  <c r="X93"/>
  <c r="AF92"/>
  <c r="AG90"/>
  <c r="AI93"/>
  <c r="AA89"/>
  <c r="AE89"/>
  <c r="AI89"/>
  <c r="AG86"/>
  <c r="W79"/>
  <c r="V71"/>
  <c r="AF83"/>
  <c r="AA77"/>
  <c r="AB67"/>
  <c r="W58"/>
  <c r="Y58"/>
  <c r="AE84"/>
  <c r="AH71"/>
  <c r="AF66"/>
  <c r="Y78"/>
  <c r="AE71"/>
  <c r="AG61"/>
  <c r="Y62"/>
  <c r="AA84"/>
  <c r="AF72"/>
  <c r="AH66"/>
  <c r="AD77"/>
  <c r="U69"/>
  <c r="W63"/>
  <c r="AC61"/>
  <c r="AD83"/>
  <c r="U75"/>
  <c r="AB86"/>
  <c r="X84"/>
  <c r="AG63"/>
  <c r="W70"/>
  <c r="AG59"/>
  <c r="X74"/>
  <c r="Z75"/>
  <c r="Z86"/>
  <c r="AF75"/>
  <c r="U67"/>
  <c r="U77"/>
  <c r="AI72"/>
  <c r="AA64"/>
  <c r="X61"/>
  <c r="Y88"/>
  <c r="AE80"/>
  <c r="U73"/>
  <c r="AB87"/>
  <c r="AG82"/>
  <c r="X70"/>
  <c r="AD60"/>
  <c r="AC88"/>
  <c r="W82"/>
  <c r="AH72"/>
  <c r="AC85"/>
  <c r="AC82"/>
  <c r="AG71"/>
  <c r="U61"/>
  <c r="AH58"/>
  <c r="AF74"/>
  <c r="AE60"/>
  <c r="AA74"/>
  <c r="AC63"/>
  <c r="AB71"/>
  <c r="Z61"/>
  <c r="W67"/>
  <c r="U88"/>
  <c r="AE81"/>
  <c r="V70"/>
  <c r="AH84"/>
  <c r="Z81"/>
  <c r="AA75"/>
  <c r="AB59"/>
  <c r="AH79"/>
  <c r="W65"/>
  <c r="AI70"/>
  <c r="X64"/>
  <c r="U74"/>
  <c r="AE78"/>
  <c r="AA61"/>
  <c r="AA82"/>
  <c r="X81"/>
  <c r="AB66"/>
  <c r="AC71"/>
  <c r="AD63"/>
  <c r="V75"/>
  <c r="AF64"/>
  <c r="AH76"/>
  <c r="AE83"/>
  <c r="AE70"/>
  <c r="AB64"/>
  <c r="AF63"/>
  <c r="AG83"/>
  <c r="U81"/>
  <c r="Z73"/>
  <c r="Z85"/>
  <c r="V76"/>
  <c r="AG67"/>
  <c r="Y59"/>
  <c r="AC84"/>
  <c r="AD78"/>
  <c r="AC69"/>
  <c r="Y84"/>
  <c r="Z76"/>
  <c r="AH67"/>
  <c r="AI57"/>
  <c r="W57"/>
  <c r="Y67"/>
  <c r="AA63"/>
  <c r="V84"/>
  <c r="AF69"/>
  <c r="W75"/>
  <c r="AC68"/>
  <c r="AC62"/>
  <c r="AE82"/>
  <c r="V80"/>
  <c r="AA86"/>
  <c r="U70"/>
  <c r="AF65"/>
  <c r="AF59"/>
  <c r="AH88"/>
  <c r="AH80"/>
  <c r="AD72"/>
  <c r="AD84"/>
  <c r="U80"/>
  <c r="AG72"/>
  <c r="V61"/>
  <c r="AG88"/>
  <c r="AF77"/>
  <c r="Y72"/>
  <c r="U83"/>
  <c r="AD82"/>
  <c r="AB72"/>
  <c r="X63"/>
  <c r="V59"/>
  <c r="AI81"/>
  <c r="AC58"/>
  <c r="X87"/>
  <c r="Y75"/>
  <c r="X80"/>
  <c r="Y73"/>
  <c r="Z82"/>
  <c r="AF88"/>
  <c r="AE79"/>
  <c r="Y87"/>
  <c r="V69"/>
  <c r="Z65"/>
  <c r="V60"/>
  <c r="Y86"/>
  <c r="AB76"/>
  <c r="AI68"/>
  <c r="U84"/>
  <c r="X69"/>
  <c r="AI66"/>
  <c r="V58"/>
  <c r="U79"/>
  <c r="AG70"/>
  <c r="AG85"/>
  <c r="AC77"/>
  <c r="Z72"/>
  <c r="U64"/>
  <c r="AD62"/>
  <c r="AD74"/>
  <c r="AC64"/>
  <c r="X75"/>
  <c r="X65"/>
  <c r="W87"/>
  <c r="W73"/>
  <c r="W85"/>
  <c r="AD67"/>
  <c r="Z58"/>
  <c r="X55"/>
  <c r="AA56"/>
  <c r="Z53"/>
  <c r="Y54"/>
  <c r="AI55"/>
  <c r="X54"/>
  <c r="AA55"/>
  <c r="AH55"/>
  <c r="V56"/>
  <c r="AD56"/>
  <c r="AH53"/>
  <c r="AE56"/>
  <c r="AD55"/>
  <c r="AF56"/>
  <c r="AB56"/>
  <c r="AF55"/>
  <c r="AH56"/>
  <c r="AB53"/>
  <c r="AE55"/>
  <c r="AC55"/>
  <c r="Y53"/>
  <c r="V55"/>
  <c r="AE53"/>
  <c r="AG53"/>
  <c r="Z54"/>
  <c r="AF54"/>
  <c r="U53"/>
  <c r="Z55"/>
  <c r="AA53"/>
  <c r="AD53"/>
  <c r="U52"/>
  <c r="Z52"/>
  <c r="AE52"/>
  <c r="X52"/>
  <c r="AC52"/>
  <c r="V52"/>
  <c r="AD52"/>
  <c r="W51"/>
  <c r="X51"/>
  <c r="AF51"/>
  <c r="V51"/>
  <c r="U51"/>
  <c r="AC51"/>
  <c r="AH51"/>
  <c r="AE51"/>
  <c r="AB47"/>
  <c r="AG44"/>
  <c r="U47"/>
  <c r="Z50"/>
  <c r="AD46"/>
  <c r="Y48"/>
  <c r="U49"/>
  <c r="W45"/>
  <c r="AI45"/>
  <c r="V46"/>
  <c r="AF46"/>
  <c r="U46"/>
  <c r="Z46"/>
  <c r="AC50"/>
  <c r="AC48"/>
  <c r="AH49"/>
  <c r="AA45"/>
  <c r="AI49"/>
  <c r="U45"/>
  <c r="W48"/>
  <c r="AB50"/>
  <c r="AC44"/>
  <c r="AG46"/>
  <c r="W49"/>
  <c r="W44"/>
  <c r="AB46"/>
  <c r="AF49"/>
  <c r="Z47"/>
  <c r="AE44"/>
  <c r="X45"/>
  <c r="X47"/>
  <c r="Y50"/>
  <c r="V45"/>
  <c r="W47"/>
  <c r="AI46"/>
  <c r="V50"/>
  <c r="Z45"/>
  <c r="AC46"/>
  <c r="AE47"/>
  <c r="Y46"/>
  <c r="V49"/>
  <c r="AG47"/>
  <c r="Z44"/>
  <c r="V47"/>
  <c r="AH48"/>
  <c r="AE46"/>
  <c r="Y47"/>
  <c r="AD48"/>
  <c r="AA48"/>
  <c r="AF48"/>
  <c r="AA49"/>
  <c r="AE49"/>
  <c r="Y41"/>
  <c r="AI40"/>
  <c r="W42"/>
  <c r="AC38"/>
  <c r="U42"/>
  <c r="AF37"/>
  <c r="V40"/>
  <c r="AB41"/>
  <c r="AF41"/>
  <c r="AG40"/>
  <c r="AB42"/>
  <c r="AH37"/>
  <c r="AG37"/>
  <c r="AH39"/>
  <c r="AF38"/>
  <c r="Y37"/>
  <c r="AA41"/>
  <c r="V42"/>
  <c r="U37"/>
  <c r="AB38"/>
  <c r="AF43"/>
  <c r="AH43"/>
  <c r="W37"/>
  <c r="AC40"/>
  <c r="V38"/>
  <c r="AC37"/>
  <c r="AD39"/>
  <c r="Z41"/>
  <c r="AD42"/>
  <c r="AF39"/>
  <c r="AE40"/>
  <c r="W40"/>
  <c r="AD43"/>
  <c r="AB40"/>
  <c r="X39"/>
  <c r="Y42"/>
  <c r="X41"/>
  <c r="AE37"/>
  <c r="AA40"/>
  <c r="U40"/>
  <c r="U43"/>
  <c r="AB43"/>
  <c r="AG38"/>
  <c r="AG39"/>
  <c r="Y40"/>
  <c r="W43"/>
  <c r="AI42"/>
  <c r="AA42"/>
  <c r="U41"/>
  <c r="AD38"/>
  <c r="W39"/>
  <c r="AF42"/>
  <c r="Y38"/>
  <c r="Z33"/>
  <c r="U31"/>
  <c r="X33"/>
  <c r="AB27"/>
  <c r="Y34"/>
  <c r="U29"/>
  <c r="AH26"/>
  <c r="AG35"/>
  <c r="W28"/>
  <c r="AB35"/>
  <c r="AG29"/>
  <c r="Y26"/>
  <c r="AG33"/>
  <c r="AC28"/>
  <c r="W34"/>
  <c r="V31"/>
  <c r="AB25"/>
  <c r="Y35"/>
  <c r="Z31"/>
  <c r="AE35"/>
  <c r="Y27"/>
  <c r="V34"/>
  <c r="U30"/>
  <c r="U35"/>
  <c r="W31"/>
  <c r="AD36"/>
  <c r="AD31"/>
  <c r="Z26"/>
  <c r="AD25"/>
  <c r="AC35"/>
  <c r="AH29"/>
  <c r="W36"/>
  <c r="V35"/>
  <c r="V30"/>
  <c r="Z27"/>
  <c r="X34"/>
  <c r="U26"/>
  <c r="Z34"/>
  <c r="AI29"/>
  <c r="AH27"/>
  <c r="AE28"/>
  <c r="AH32"/>
  <c r="AI28"/>
  <c r="AB28"/>
  <c r="AB32"/>
  <c r="AA32"/>
  <c r="AC27"/>
  <c r="Z36"/>
  <c r="W33"/>
  <c r="Y28"/>
  <c r="AI25"/>
  <c r="AC33"/>
  <c r="AF26"/>
  <c r="AG32"/>
  <c r="AC30"/>
  <c r="AH25"/>
  <c r="U32"/>
  <c r="AE27"/>
  <c r="AE36"/>
  <c r="AF32"/>
  <c r="AF29"/>
  <c r="V33"/>
  <c r="AA30"/>
  <c r="U27"/>
  <c r="X25"/>
  <c r="Y31"/>
  <c r="AC31"/>
  <c r="AD35"/>
  <c r="AG30"/>
  <c r="Z35"/>
  <c r="AG28"/>
  <c r="AI35"/>
  <c r="X30"/>
  <c r="V28"/>
  <c r="Z32"/>
  <c r="V26"/>
  <c r="AF36"/>
  <c r="AB33"/>
  <c r="AA27"/>
  <c r="AF25"/>
  <c r="V32"/>
  <c r="AF27"/>
  <c r="AD30"/>
  <c r="AA28"/>
  <c r="U36"/>
  <c r="V27"/>
  <c r="X35"/>
  <c r="AD26"/>
  <c r="AI27"/>
  <c r="AA33"/>
  <c r="AI21"/>
  <c r="U23"/>
  <c r="AH16"/>
  <c r="AB20"/>
  <c r="AI24"/>
  <c r="X22"/>
  <c r="V16"/>
  <c r="Y16"/>
  <c r="U21"/>
  <c r="AE19"/>
  <c r="AB23"/>
  <c r="AC18"/>
  <c r="AE21"/>
  <c r="AD21"/>
  <c r="AG24"/>
  <c r="W17"/>
  <c r="Z24"/>
  <c r="W20"/>
  <c r="V24"/>
  <c r="AF20"/>
  <c r="V18"/>
  <c r="AA17"/>
  <c r="AC22"/>
  <c r="W24"/>
  <c r="AH22"/>
  <c r="V17"/>
  <c r="AD16"/>
  <c r="AH23"/>
  <c r="W19"/>
  <c r="AC20"/>
  <c r="W18"/>
  <c r="AH17"/>
  <c r="V22"/>
  <c r="AA21"/>
  <c r="Y24"/>
  <c r="X24"/>
  <c r="Z20"/>
  <c r="U22"/>
  <c r="AB19"/>
  <c r="Z17"/>
  <c r="AG21"/>
  <c r="AI22"/>
  <c r="AG19"/>
  <c r="AG16"/>
  <c r="AF24"/>
  <c r="V20"/>
  <c r="Z23"/>
  <c r="AD17"/>
  <c r="AD24"/>
  <c r="AF18"/>
  <c r="AH19"/>
  <c r="X21"/>
  <c r="AD22"/>
  <c r="W21"/>
  <c r="U18"/>
  <c r="AI102"/>
  <c r="AG102"/>
  <c r="AC101"/>
  <c r="AE101"/>
  <c r="AD98"/>
  <c r="AI98"/>
  <c r="X99"/>
  <c r="AC100"/>
  <c r="AD100"/>
  <c r="X96"/>
  <c r="AF97"/>
  <c r="V97"/>
  <c r="V95"/>
  <c r="AE95"/>
  <c r="AB97"/>
  <c r="V94"/>
  <c r="AA94"/>
  <c r="Y91"/>
  <c r="W92"/>
  <c r="W90"/>
  <c r="AH90"/>
  <c r="AA92"/>
  <c r="X92"/>
  <c r="AG91"/>
  <c r="AH89"/>
  <c r="AG89"/>
  <c r="V83"/>
  <c r="AG66"/>
  <c r="AC73"/>
  <c r="V64"/>
  <c r="V77"/>
  <c r="AF84"/>
  <c r="AF68"/>
  <c r="AD85"/>
  <c r="AE74"/>
  <c r="Z77"/>
  <c r="AA57"/>
  <c r="AE67"/>
  <c r="Z78"/>
  <c r="AB83"/>
  <c r="X71"/>
  <c r="Z87"/>
  <c r="AA72"/>
  <c r="Y79"/>
  <c r="X58"/>
  <c r="AC87"/>
  <c r="V66"/>
  <c r="AB74"/>
  <c r="U63"/>
  <c r="AA76"/>
  <c r="AG79"/>
  <c r="AD65"/>
  <c r="AF85"/>
  <c r="U86"/>
  <c r="Z57"/>
  <c r="V57"/>
  <c r="Y85"/>
  <c r="AF67"/>
  <c r="U65"/>
  <c r="AD59"/>
  <c r="AI78"/>
  <c r="X82"/>
  <c r="AE69"/>
  <c r="AA69"/>
  <c r="AI60"/>
  <c r="AD58"/>
  <c r="AA87"/>
  <c r="AB75"/>
  <c r="AC57"/>
  <c r="AC81"/>
  <c r="AG65"/>
  <c r="AF71"/>
  <c r="W61"/>
  <c r="AE72"/>
  <c r="AF80"/>
  <c r="Z62"/>
  <c r="AD86"/>
  <c r="W78"/>
  <c r="AE57"/>
  <c r="AA59"/>
  <c r="AC83"/>
  <c r="AH81"/>
  <c r="X62"/>
  <c r="AH83"/>
  <c r="W68"/>
  <c r="AI73"/>
  <c r="AH57"/>
  <c r="AG76"/>
  <c r="AI80"/>
  <c r="AI65"/>
  <c r="AE73"/>
  <c r="V88"/>
  <c r="U58"/>
  <c r="AI64"/>
  <c r="AE88"/>
  <c r="AF79"/>
  <c r="AG64"/>
  <c r="X78"/>
  <c r="AI87"/>
  <c r="AC72"/>
  <c r="V87"/>
  <c r="U66"/>
  <c r="W72"/>
  <c r="U60"/>
  <c r="V79"/>
  <c r="AC80"/>
  <c r="X68"/>
  <c r="V65"/>
  <c r="AD54"/>
  <c r="V54"/>
  <c r="AF53"/>
  <c r="AA54"/>
  <c r="X56"/>
  <c r="Y56"/>
  <c r="AG54"/>
  <c r="AH54"/>
  <c r="AI53"/>
  <c r="AB55"/>
  <c r="AG56"/>
  <c r="AI56"/>
  <c r="AC56"/>
  <c r="AB54"/>
  <c r="AE54"/>
  <c r="AB52"/>
  <c r="AH52"/>
  <c r="AG52"/>
  <c r="Y52"/>
  <c r="AD51"/>
  <c r="AI51"/>
  <c r="AA51"/>
  <c r="AB51"/>
  <c r="AH45"/>
  <c r="X44"/>
  <c r="X49"/>
  <c r="Z48"/>
  <c r="X50"/>
  <c r="AH50"/>
  <c r="AD47"/>
  <c r="AH44"/>
  <c r="AF47"/>
  <c r="Z49"/>
  <c r="AB48"/>
  <c r="AD44"/>
  <c r="Y45"/>
  <c r="AA47"/>
  <c r="AC47"/>
  <c r="AD45"/>
  <c r="AC49"/>
  <c r="AI44"/>
  <c r="Y49"/>
  <c r="AE45"/>
  <c r="W50"/>
  <c r="AD49"/>
  <c r="Y44"/>
  <c r="AI47"/>
  <c r="AD50"/>
  <c r="X46"/>
  <c r="AH41"/>
  <c r="Z37"/>
  <c r="AG41"/>
  <c r="AG43"/>
  <c r="AF40"/>
  <c r="W41"/>
  <c r="AA37"/>
  <c r="Z43"/>
  <c r="V39"/>
  <c r="AI39"/>
  <c r="AC39"/>
  <c r="AE42"/>
  <c r="AE39"/>
  <c r="AC42"/>
  <c r="V37"/>
  <c r="Z40"/>
  <c r="AG42"/>
  <c r="Z42"/>
  <c r="AB39"/>
  <c r="AB37"/>
  <c r="AH38"/>
  <c r="U38"/>
  <c r="AD37"/>
  <c r="AI41"/>
  <c r="AC41"/>
  <c r="AE38"/>
  <c r="AF35"/>
  <c r="AA35"/>
  <c r="AC36"/>
  <c r="W30"/>
  <c r="AH31"/>
  <c r="AF33"/>
  <c r="W25"/>
  <c r="AA36"/>
  <c r="W27"/>
  <c r="AC25"/>
  <c r="AI31"/>
  <c r="AI33"/>
  <c r="Y33"/>
  <c r="AA34"/>
  <c r="Z25"/>
  <c r="AI30"/>
  <c r="AG36"/>
  <c r="V29"/>
  <c r="AA29"/>
  <c r="X32"/>
  <c r="AA31"/>
  <c r="X31"/>
  <c r="AF34"/>
  <c r="AF30"/>
  <c r="AI34"/>
  <c r="AA26"/>
  <c r="X29"/>
  <c r="AB31"/>
  <c r="AD34"/>
  <c r="AI36"/>
  <c r="Y29"/>
  <c r="AC29"/>
  <c r="AD32"/>
  <c r="U33"/>
  <c r="W32"/>
  <c r="AE29"/>
  <c r="AE33"/>
  <c r="AA25"/>
  <c r="AH36"/>
  <c r="AB30"/>
  <c r="AH34"/>
  <c r="AD33"/>
  <c r="U25"/>
  <c r="Y25"/>
  <c r="AG34"/>
  <c r="Z21"/>
  <c r="Z18"/>
  <c r="AG20"/>
  <c r="AH18"/>
  <c r="AE24"/>
  <c r="AE23"/>
  <c r="AB16"/>
  <c r="AA18"/>
  <c r="X23"/>
  <c r="W23"/>
  <c r="X19"/>
  <c r="AH24"/>
  <c r="AI20"/>
  <c r="AF17"/>
  <c r="AG23"/>
  <c r="AH20"/>
  <c r="AF23"/>
  <c r="AE16"/>
  <c r="AG22"/>
  <c r="Y23"/>
  <c r="W16"/>
  <c r="AB21"/>
  <c r="AB17"/>
  <c r="AF22"/>
  <c r="AG17"/>
  <c r="AC24"/>
  <c r="AB22"/>
  <c r="U20"/>
  <c r="AC23"/>
  <c r="AI19"/>
  <c r="AD19"/>
  <c r="Z16"/>
  <c r="AA24"/>
  <c r="Y21"/>
  <c r="V19"/>
  <c r="AF16"/>
  <c r="AB18"/>
  <c r="AD20"/>
  <c r="U17"/>
  <c r="V21"/>
  <c r="AI15"/>
  <c r="U15"/>
  <c r="Z15"/>
  <c r="V15"/>
  <c r="AG15"/>
  <c r="X15"/>
  <c r="AB15"/>
  <c r="AD15"/>
  <c r="AG12"/>
  <c r="X14"/>
  <c r="X7"/>
  <c r="AI6"/>
  <c r="U5"/>
  <c r="AH11"/>
  <c r="U11"/>
  <c r="V8"/>
  <c r="AB7"/>
  <c r="W5"/>
  <c r="Z12"/>
  <c r="AC11"/>
  <c r="Z9"/>
  <c r="AI5"/>
  <c r="AC10"/>
  <c r="AI13"/>
  <c r="AE11"/>
  <c r="U10"/>
  <c r="V5"/>
  <c r="AH10"/>
  <c r="AG13"/>
  <c r="V14"/>
  <c r="U14"/>
  <c r="AG9"/>
  <c r="AF7"/>
  <c r="Z5"/>
  <c r="AH9"/>
  <c r="AA12"/>
  <c r="AB8"/>
  <c r="AG4"/>
  <c r="AE13"/>
  <c r="Y14"/>
  <c r="AA8"/>
  <c r="AB11"/>
  <c r="W10"/>
  <c r="AI4"/>
  <c r="AG11"/>
  <c r="AG5"/>
  <c r="AH6"/>
  <c r="Y4"/>
  <c r="AI12"/>
  <c r="AB14"/>
  <c r="AD9"/>
  <c r="AE8"/>
  <c r="AE4"/>
  <c r="W14"/>
  <c r="AG10"/>
  <c r="X12"/>
  <c r="AB6"/>
  <c r="AH8"/>
  <c r="AC14"/>
  <c r="AF9"/>
  <c r="W8"/>
  <c r="X5"/>
  <c r="AC7"/>
  <c r="AI10"/>
  <c r="W12"/>
  <c r="AD8"/>
  <c r="X13"/>
  <c r="Y12"/>
  <c r="AH5"/>
  <c r="AH12"/>
  <c r="AD14"/>
  <c r="V9"/>
  <c r="AG6"/>
  <c r="X4"/>
  <c r="Y13"/>
  <c r="X9"/>
  <c r="AE12"/>
  <c r="AG7"/>
  <c r="U6"/>
  <c r="W4"/>
  <c r="Y11"/>
  <c r="AA9"/>
  <c r="Z8"/>
  <c r="V4"/>
  <c r="U12"/>
  <c r="Z10"/>
  <c r="AB9"/>
  <c r="AC4"/>
  <c r="Z6"/>
  <c r="X11"/>
  <c r="AG3"/>
  <c r="AA3"/>
  <c r="AB3"/>
  <c r="AF3"/>
  <c r="V3"/>
  <c r="AH3"/>
  <c r="W3"/>
  <c r="Z3"/>
  <c r="A13"/>
  <c r="O12"/>
  <c r="A12"/>
  <c r="A11"/>
  <c r="Z102"/>
  <c r="U102"/>
  <c r="AH101"/>
  <c r="X101"/>
  <c r="AF99"/>
  <c r="X98"/>
  <c r="AE99"/>
  <c r="AF98"/>
  <c r="AG100"/>
  <c r="U100"/>
  <c r="AF95"/>
  <c r="Y95"/>
  <c r="AC96"/>
  <c r="AA97"/>
  <c r="AH97"/>
  <c r="AG94"/>
  <c r="Z94"/>
  <c r="W93"/>
  <c r="AH91"/>
  <c r="V92"/>
  <c r="X91"/>
  <c r="AB93"/>
  <c r="X90"/>
  <c r="AD91"/>
  <c r="AI91"/>
  <c r="V89"/>
  <c r="W89"/>
  <c r="AB70"/>
  <c r="AG81"/>
  <c r="V62"/>
  <c r="AI85"/>
  <c r="U72"/>
  <c r="AB79"/>
  <c r="AC59"/>
  <c r="AC78"/>
  <c r="AB85"/>
  <c r="X67"/>
  <c r="U57"/>
  <c r="AG57"/>
  <c r="AA70"/>
  <c r="AH77"/>
  <c r="AA73"/>
  <c r="Y82"/>
  <c r="AF87"/>
  <c r="AH70"/>
  <c r="AA58"/>
  <c r="AI76"/>
  <c r="U78"/>
  <c r="AE65"/>
  <c r="X85"/>
  <c r="AA66"/>
  <c r="AI74"/>
  <c r="AH64"/>
  <c r="X77"/>
  <c r="AI79"/>
  <c r="AE77"/>
  <c r="Z74"/>
  <c r="AE75"/>
  <c r="AB82"/>
  <c r="X66"/>
  <c r="AC74"/>
  <c r="AB62"/>
  <c r="AH65"/>
  <c r="AA62"/>
  <c r="AC86"/>
  <c r="AA80"/>
  <c r="AI62"/>
  <c r="AE66"/>
  <c r="AG68"/>
  <c r="AB58"/>
  <c r="V72"/>
  <c r="W81"/>
  <c r="AF61"/>
  <c r="AG80"/>
  <c r="AC65"/>
  <c r="X73"/>
  <c r="AF62"/>
  <c r="Z71"/>
  <c r="Y66"/>
  <c r="W83"/>
  <c r="AB77"/>
  <c r="X72"/>
  <c r="V73"/>
  <c r="AH60"/>
  <c r="AD76"/>
  <c r="AD80"/>
  <c r="Y65"/>
  <c r="Y83"/>
  <c r="AA67"/>
  <c r="AH73"/>
  <c r="AA60"/>
  <c r="AH62"/>
  <c r="Y71"/>
  <c r="AB65"/>
  <c r="AH59"/>
  <c r="Y74"/>
  <c r="U71"/>
  <c r="AE62"/>
  <c r="AD71"/>
  <c r="AB78"/>
  <c r="Y64"/>
  <c r="AH75"/>
  <c r="X83"/>
  <c r="AD66"/>
  <c r="Z59"/>
  <c r="AB57"/>
  <c r="AI59"/>
  <c r="Y57"/>
  <c r="AE58"/>
  <c r="Y55"/>
  <c r="W55"/>
  <c r="Z56"/>
  <c r="W54"/>
  <c r="AC54"/>
  <c r="U55"/>
  <c r="W53"/>
  <c r="U54"/>
  <c r="AI54"/>
  <c r="V53"/>
  <c r="AG55"/>
  <c r="W56"/>
  <c r="AC53"/>
  <c r="U56"/>
  <c r="X53"/>
  <c r="AA52"/>
  <c r="AI52"/>
  <c r="AF52"/>
  <c r="W52"/>
  <c r="Y51"/>
  <c r="Z51"/>
  <c r="AG51"/>
  <c r="AF50"/>
  <c r="AG49"/>
  <c r="AE48"/>
  <c r="V44"/>
  <c r="AH47"/>
  <c r="AB49"/>
  <c r="AA46"/>
  <c r="AI48"/>
  <c r="AH46"/>
  <c r="V48"/>
  <c r="AG45"/>
  <c r="AE50"/>
  <c r="X48"/>
  <c r="AG50"/>
  <c r="AF44"/>
  <c r="AA50"/>
  <c r="U48"/>
  <c r="U50"/>
  <c r="AG48"/>
  <c r="U44"/>
  <c r="AB45"/>
  <c r="AC45"/>
  <c r="W46"/>
  <c r="AF45"/>
  <c r="AI50"/>
  <c r="AB44"/>
  <c r="AA44"/>
  <c r="U39"/>
  <c r="Z38"/>
  <c r="AH40"/>
  <c r="X42"/>
  <c r="X40"/>
  <c r="V43"/>
  <c r="Y43"/>
  <c r="V41"/>
  <c r="W38"/>
  <c r="AA38"/>
  <c r="X38"/>
  <c r="AC43"/>
  <c r="AE41"/>
  <c r="AA43"/>
  <c r="AD41"/>
  <c r="AI43"/>
  <c r="X37"/>
  <c r="AE43"/>
  <c r="AA39"/>
  <c r="Y39"/>
  <c r="AH42"/>
  <c r="AI38"/>
  <c r="AD40"/>
  <c r="Z39"/>
  <c r="X43"/>
  <c r="AI37"/>
  <c r="Z30"/>
  <c r="AG31"/>
  <c r="Y32"/>
  <c r="AG25"/>
  <c r="X28"/>
  <c r="AB26"/>
  <c r="W29"/>
  <c r="AE32"/>
  <c r="AH28"/>
  <c r="AI26"/>
  <c r="Y36"/>
  <c r="V36"/>
  <c r="AE26"/>
  <c r="AD29"/>
  <c r="AB36"/>
  <c r="AD28"/>
  <c r="AH33"/>
  <c r="V25"/>
  <c r="AC26"/>
  <c r="AF28"/>
  <c r="AI32"/>
  <c r="X27"/>
  <c r="Z29"/>
  <c r="AD27"/>
  <c r="AE30"/>
  <c r="AH35"/>
  <c r="U34"/>
  <c r="AG26"/>
  <c r="AH30"/>
  <c r="AB34"/>
  <c r="Z28"/>
  <c r="U28"/>
  <c r="AC34"/>
  <c r="X36"/>
  <c r="W26"/>
  <c r="X26"/>
  <c r="AG27"/>
  <c r="AF31"/>
  <c r="AE34"/>
  <c r="AE25"/>
  <c r="AB29"/>
  <c r="AE31"/>
  <c r="AC32"/>
  <c r="Y30"/>
  <c r="W35"/>
  <c r="Z22"/>
  <c r="X17"/>
  <c r="AI23"/>
  <c r="AA16"/>
  <c r="AA20"/>
  <c r="AA19"/>
  <c r="AC19"/>
  <c r="AC21"/>
  <c r="U16"/>
  <c r="AH21"/>
  <c r="Y17"/>
  <c r="V23"/>
  <c r="AG18"/>
  <c r="U24"/>
  <c r="AB24"/>
  <c r="AC16"/>
  <c r="AE17"/>
  <c r="Y19"/>
  <c r="U19"/>
  <c r="AI18"/>
  <c r="AE22"/>
  <c r="Y18"/>
  <c r="Y20"/>
  <c r="X18"/>
  <c r="AI16"/>
  <c r="AE18"/>
  <c r="AF19"/>
  <c r="X16"/>
  <c r="AF21"/>
  <c r="W22"/>
  <c r="AD18"/>
  <c r="AC17"/>
  <c r="AA23"/>
  <c r="X20"/>
  <c r="AI17"/>
  <c r="Z19"/>
  <c r="AE20"/>
  <c r="AA22"/>
  <c r="AD23"/>
  <c r="Y22"/>
  <c r="AC15"/>
  <c r="AF15"/>
  <c r="Y15"/>
  <c r="AH15"/>
  <c r="AE15"/>
  <c r="W15"/>
  <c r="AA15"/>
  <c r="AF13"/>
  <c r="X10"/>
  <c r="AF11"/>
  <c r="AF6"/>
  <c r="AF4"/>
  <c r="AC13"/>
  <c r="AB10"/>
  <c r="W9"/>
  <c r="AC8"/>
  <c r="AD4"/>
  <c r="AF14"/>
  <c r="Y9"/>
  <c r="U13"/>
  <c r="AE7"/>
  <c r="Z11"/>
  <c r="AF5"/>
  <c r="AF8"/>
  <c r="AA13"/>
  <c r="X8"/>
  <c r="V13"/>
  <c r="AD5"/>
  <c r="W6"/>
  <c r="AC12"/>
  <c r="AA11"/>
  <c r="AA7"/>
  <c r="X6"/>
  <c r="AD12"/>
  <c r="AH14"/>
  <c r="AF10"/>
  <c r="AI7"/>
  <c r="Y5"/>
  <c r="Y10"/>
  <c r="AA10"/>
  <c r="AE5"/>
  <c r="AB4"/>
  <c r="AD7"/>
  <c r="AE14"/>
  <c r="Y6"/>
  <c r="AB12"/>
  <c r="Y8"/>
  <c r="Z13"/>
  <c r="V10"/>
  <c r="AD11"/>
  <c r="Y7"/>
  <c r="AI8"/>
  <c r="AH4"/>
  <c r="V11"/>
  <c r="AA14"/>
  <c r="AI9"/>
  <c r="AC6"/>
  <c r="U4"/>
  <c r="W11"/>
  <c r="AF12"/>
  <c r="U8"/>
  <c r="AH13"/>
  <c r="AG14"/>
  <c r="AA5"/>
  <c r="AH7"/>
  <c r="AB5"/>
  <c r="AA6"/>
  <c r="AD10"/>
  <c r="W13"/>
  <c r="AE10"/>
  <c r="AI11"/>
  <c r="AD6"/>
  <c r="AG8"/>
  <c r="AC5"/>
  <c r="V12"/>
  <c r="AI14"/>
  <c r="U9"/>
  <c r="Z7"/>
  <c r="AA4"/>
  <c r="Z14"/>
  <c r="AC9"/>
  <c r="AD13"/>
  <c r="V6"/>
  <c r="V7"/>
  <c r="W7"/>
  <c r="AB13"/>
  <c r="U7"/>
  <c r="AE9"/>
  <c r="Z4"/>
  <c r="AE6"/>
  <c r="U3"/>
  <c r="Y3"/>
  <c r="X3"/>
  <c r="AD3"/>
  <c r="AC3"/>
  <c r="AI3"/>
  <c r="AE3"/>
  <c r="O13"/>
  <c r="N13"/>
  <c r="N12"/>
  <c r="O11"/>
  <c r="N11"/>
  <c r="O10"/>
  <c r="N10"/>
  <c r="A10"/>
  <c r="O9"/>
  <c r="N9"/>
  <c r="A9"/>
  <c r="A8"/>
  <c r="O8"/>
  <c r="N8"/>
  <c r="O7"/>
  <c r="A7"/>
  <c r="N7"/>
  <c r="O6"/>
  <c r="A6"/>
  <c r="N6"/>
  <c r="O5"/>
  <c r="A5"/>
  <c r="N5"/>
  <c r="A4"/>
  <c r="O4"/>
  <c r="N4"/>
  <c r="O3"/>
  <c r="N3"/>
  <c r="A3"/>
  <c r="N2"/>
  <c r="A2"/>
  <c r="O2"/>
</calcChain>
</file>

<file path=xl/sharedStrings.xml><?xml version="1.0" encoding="utf-8"?>
<sst xmlns="http://schemas.openxmlformats.org/spreadsheetml/2006/main" count="666" uniqueCount="351">
  <si>
    <t>Symbol</t>
  </si>
  <si>
    <t>Price</t>
  </si>
  <si>
    <t>StreamBase Routing Information</t>
  </si>
  <si>
    <t>URIREF</t>
  </si>
  <si>
    <t>server</t>
  </si>
  <si>
    <t>server1</t>
  </si>
  <si>
    <t>server2</t>
  </si>
  <si>
    <t>buffer-size</t>
  </si>
  <si>
    <t>(StreamBase URIs that can be referenced with URIREF tags in the spreadsheet cells)</t>
  </si>
  <si>
    <t>MaxNrOrders</t>
  </si>
  <si>
    <t>max-buffer-size</t>
  </si>
  <si>
    <t>Dados do Arquivo de Configuração - sb-microsoft-excel.sbconf - para Consulta</t>
  </si>
  <si>
    <t>AppOrderID</t>
  </si>
  <si>
    <t>BuySell</t>
  </si>
  <si>
    <t>OrderStatus</t>
  </si>
  <si>
    <t>Sheet</t>
  </si>
  <si>
    <t>Orders01</t>
  </si>
  <si>
    <t>AppIn</t>
  </si>
  <si>
    <t>OrderQty</t>
  </si>
  <si>
    <t>CumQty</t>
  </si>
  <si>
    <t>AvgPx</t>
  </si>
  <si>
    <t>UpdateNumber</t>
  </si>
  <si>
    <t>UpdateTime</t>
  </si>
  <si>
    <t>StreamOrdersIn</t>
  </si>
  <si>
    <t>StreamExecOut</t>
  </si>
  <si>
    <t>AppOut</t>
  </si>
  <si>
    <t>StreamCancelAll</t>
  </si>
  <si>
    <t>CancelAll</t>
  </si>
  <si>
    <t>Portfolio</t>
  </si>
  <si>
    <t>Long-Short</t>
  </si>
  <si>
    <t>Trading</t>
  </si>
  <si>
    <t>Quantitative</t>
  </si>
  <si>
    <t>Small-Caps</t>
  </si>
  <si>
    <t>Admin</t>
  </si>
  <si>
    <t>Arbitrage</t>
  </si>
  <si>
    <t>Termo</t>
  </si>
  <si>
    <t>Fundamental</t>
  </si>
  <si>
    <t>Options</t>
  </si>
  <si>
    <t>Special Situations</t>
  </si>
  <si>
    <t>Trend IBOV</t>
  </si>
  <si>
    <t>Mean Reversion</t>
  </si>
  <si>
    <t>TF Low Freq</t>
  </si>
  <si>
    <t>oldMean Reversion</t>
  </si>
  <si>
    <t>Op</t>
  </si>
  <si>
    <t>Hedge</t>
  </si>
  <si>
    <t>Trend Follow</t>
  </si>
  <si>
    <t>Value</t>
  </si>
  <si>
    <t>IPO</t>
  </si>
  <si>
    <t>4P BVMF</t>
  </si>
  <si>
    <t>4P ITUB</t>
  </si>
  <si>
    <t>4P JBSS</t>
  </si>
  <si>
    <t>4P MRFG</t>
  </si>
  <si>
    <t>4P OGX</t>
  </si>
  <si>
    <t>4P PETR</t>
  </si>
  <si>
    <t>4P VALE</t>
  </si>
  <si>
    <t>ABYA1 - ABYA3</t>
  </si>
  <si>
    <t>Adjustments</t>
  </si>
  <si>
    <t>AGIN-CYRE</t>
  </si>
  <si>
    <t>AGIN9 - AGIN3</t>
  </si>
  <si>
    <t>Agora</t>
  </si>
  <si>
    <t>AGRE</t>
  </si>
  <si>
    <t>AGRE-PDG</t>
  </si>
  <si>
    <t>ALL - NOVO MERCADO</t>
  </si>
  <si>
    <t>ALL Debenture</t>
  </si>
  <si>
    <t>ALPES</t>
  </si>
  <si>
    <t>AMBV</t>
  </si>
  <si>
    <t>AMBV10 - AMBV4</t>
  </si>
  <si>
    <t>Arb_Generic</t>
  </si>
  <si>
    <t>ARCZ</t>
  </si>
  <si>
    <t>ARCZ - VCPA</t>
  </si>
  <si>
    <t>Ativa</t>
  </si>
  <si>
    <t>AVIL-GGBR</t>
  </si>
  <si>
    <t>Banco do Brasil</t>
  </si>
  <si>
    <t>BANIF</t>
  </si>
  <si>
    <t>BB</t>
  </si>
  <si>
    <t>BBAS13 Bonus</t>
  </si>
  <si>
    <t>BBD</t>
  </si>
  <si>
    <t>BBDC</t>
  </si>
  <si>
    <t>BBDC-A</t>
  </si>
  <si>
    <t>BBDC-B</t>
  </si>
  <si>
    <t>BEEF</t>
  </si>
  <si>
    <t>BEEF11 Bonus</t>
  </si>
  <si>
    <t>BHGR</t>
  </si>
  <si>
    <t>BISA</t>
  </si>
  <si>
    <t>BISA-CPNY</t>
  </si>
  <si>
    <t>BNCA</t>
  </si>
  <si>
    <t>BOX BVMF</t>
  </si>
  <si>
    <t>BOX ITUB</t>
  </si>
  <si>
    <t>BOX JBSS</t>
  </si>
  <si>
    <t>BOX MRFG</t>
  </si>
  <si>
    <t>BOX OGX</t>
  </si>
  <si>
    <t>BOX PDG</t>
  </si>
  <si>
    <t>BOX PETR</t>
  </si>
  <si>
    <t>BOX USIM</t>
  </si>
  <si>
    <t>BOX VALE</t>
  </si>
  <si>
    <t>BPNM</t>
  </si>
  <si>
    <t>BRFS</t>
  </si>
  <si>
    <t>BRSR</t>
  </si>
  <si>
    <t>BRTP</t>
  </si>
  <si>
    <t>BTOW</t>
  </si>
  <si>
    <t>BVMF</t>
  </si>
  <si>
    <t>Cash</t>
  </si>
  <si>
    <t>CBO1</t>
  </si>
  <si>
    <t>CBO45</t>
  </si>
  <si>
    <t>CBO68</t>
  </si>
  <si>
    <t>CBO9</t>
  </si>
  <si>
    <t>CCIM</t>
  </si>
  <si>
    <t>CESP</t>
  </si>
  <si>
    <t>CGAS</t>
  </si>
  <si>
    <t>CIEL</t>
  </si>
  <si>
    <t>CM</t>
  </si>
  <si>
    <t>CNFB</t>
  </si>
  <si>
    <t>COIN</t>
  </si>
  <si>
    <t>COMGAS</t>
  </si>
  <si>
    <t>Commodities</t>
  </si>
  <si>
    <t>CONCORDIA</t>
  </si>
  <si>
    <t>CONFAB</t>
  </si>
  <si>
    <t>Convencao</t>
  </si>
  <si>
    <t>CRUZ</t>
  </si>
  <si>
    <t>CSAN</t>
  </si>
  <si>
    <t>CSNA</t>
  </si>
  <si>
    <t>CSP BVMF</t>
  </si>
  <si>
    <t>CSP OGXP</t>
  </si>
  <si>
    <t>CSP PETR</t>
  </si>
  <si>
    <t>CSP VALE</t>
  </si>
  <si>
    <t>CTEEP</t>
  </si>
  <si>
    <t>CTIP</t>
  </si>
  <si>
    <t>CTIP1-3</t>
  </si>
  <si>
    <t>Currency</t>
  </si>
  <si>
    <t>CZEIROSUL</t>
  </si>
  <si>
    <t>Dixie</t>
  </si>
  <si>
    <t>DURA-SATI</t>
  </si>
  <si>
    <t>DXTG</t>
  </si>
  <si>
    <t>ECOD</t>
  </si>
  <si>
    <t>ECOD1 - ECOD3</t>
  </si>
  <si>
    <t>ELET</t>
  </si>
  <si>
    <t>ELPL</t>
  </si>
  <si>
    <t>Fator</t>
  </si>
  <si>
    <t>FFTL</t>
  </si>
  <si>
    <t>FI</t>
  </si>
  <si>
    <t>FIX</t>
  </si>
  <si>
    <t>Fosfertil</t>
  </si>
  <si>
    <t>Futura</t>
  </si>
  <si>
    <t>GBM</t>
  </si>
  <si>
    <t>GGBR</t>
  </si>
  <si>
    <t>GOL</t>
  </si>
  <si>
    <t>GOLL</t>
  </si>
  <si>
    <t>GRADUAL</t>
  </si>
  <si>
    <t>GVT</t>
  </si>
  <si>
    <t>HRTP</t>
  </si>
  <si>
    <t>HYPE</t>
  </si>
  <si>
    <t>ICAP</t>
  </si>
  <si>
    <t>IDNT</t>
  </si>
  <si>
    <t>IDNT3-9</t>
  </si>
  <si>
    <t>IDVL</t>
  </si>
  <si>
    <t>ILMD</t>
  </si>
  <si>
    <t>INEP</t>
  </si>
  <si>
    <t>INEPAR</t>
  </si>
  <si>
    <t>Interbolsa</t>
  </si>
  <si>
    <t>IRON</t>
  </si>
  <si>
    <t>ITSA</t>
  </si>
  <si>
    <t>ITSA1 - ITSA3</t>
  </si>
  <si>
    <t>ITUB</t>
  </si>
  <si>
    <t>JCP</t>
  </si>
  <si>
    <t>Jericho</t>
  </si>
  <si>
    <t>JM</t>
  </si>
  <si>
    <t>JM Banks</t>
  </si>
  <si>
    <t>JM Eletric</t>
  </si>
  <si>
    <t>JM Home Builders</t>
  </si>
  <si>
    <t>JM Pulp and Paper</t>
  </si>
  <si>
    <t>JM Shopping</t>
  </si>
  <si>
    <t>JM Steel</t>
  </si>
  <si>
    <t>JM Transportation</t>
  </si>
  <si>
    <t>Katucha</t>
  </si>
  <si>
    <t>KROT</t>
  </si>
  <si>
    <t>LINK</t>
  </si>
  <si>
    <t>LIQUIDEZ</t>
  </si>
  <si>
    <t>LLXL1 - LLXL3</t>
  </si>
  <si>
    <t>LLXL9 - LLXL3</t>
  </si>
  <si>
    <t>LUPA</t>
  </si>
  <si>
    <t>MAGG</t>
  </si>
  <si>
    <t>Margin</t>
  </si>
  <si>
    <t>MARISOL</t>
  </si>
  <si>
    <t>MartimPescador</t>
  </si>
  <si>
    <t>MEDI</t>
  </si>
  <si>
    <t>MIRAE</t>
  </si>
  <si>
    <t>MMXM</t>
  </si>
  <si>
    <t>MNDL</t>
  </si>
  <si>
    <t>Momentum 1</t>
  </si>
  <si>
    <t>Momentum 2</t>
  </si>
  <si>
    <t>Momentum 4</t>
  </si>
  <si>
    <t>Momentum 40</t>
  </si>
  <si>
    <t>Momentum 7</t>
  </si>
  <si>
    <t>Momentum 70</t>
  </si>
  <si>
    <t>Momentum 8</t>
  </si>
  <si>
    <t>Momentum DOL</t>
  </si>
  <si>
    <t>Momentum LS</t>
  </si>
  <si>
    <t>Momentum VWAP L60</t>
  </si>
  <si>
    <t>MomentumBZ</t>
  </si>
  <si>
    <t>MomentumUS</t>
  </si>
  <si>
    <t>MPXE</t>
  </si>
  <si>
    <t>MRSL</t>
  </si>
  <si>
    <t>NET</t>
  </si>
  <si>
    <t>NETC</t>
  </si>
  <si>
    <t>NETT</t>
  </si>
  <si>
    <t>Nissim</t>
  </si>
  <si>
    <t>OGX</t>
  </si>
  <si>
    <t>OGXP</t>
  </si>
  <si>
    <t>OI</t>
  </si>
  <si>
    <t>OI2</t>
  </si>
  <si>
    <t>OIBR</t>
  </si>
  <si>
    <t>oldUnassigned</t>
  </si>
  <si>
    <t>OpOp</t>
  </si>
  <si>
    <t>Other</t>
  </si>
  <si>
    <t>PANA</t>
  </si>
  <si>
    <t>Patriot</t>
  </si>
  <si>
    <t>PCAR</t>
  </si>
  <si>
    <t>PDGR</t>
  </si>
  <si>
    <t>PEFX</t>
  </si>
  <si>
    <t>PETR</t>
  </si>
  <si>
    <t>PETRA</t>
  </si>
  <si>
    <t>PETRCSI</t>
  </si>
  <si>
    <t>PMAM</t>
  </si>
  <si>
    <t>PortX</t>
  </si>
  <si>
    <t>PQUN</t>
  </si>
  <si>
    <t>PROSPER</t>
  </si>
  <si>
    <t>PRTX</t>
  </si>
  <si>
    <t>Python</t>
  </si>
  <si>
    <t>QuantSpecSit</t>
  </si>
  <si>
    <t>RAIA - DROG</t>
  </si>
  <si>
    <t>Range</t>
  </si>
  <si>
    <t>Rates BZ</t>
  </si>
  <si>
    <t>RDCD</t>
  </si>
  <si>
    <t>RDTR</t>
  </si>
  <si>
    <t>RDTR-LIGT</t>
  </si>
  <si>
    <t>REDENTOR</t>
  </si>
  <si>
    <t>RNAR</t>
  </si>
  <si>
    <t>RNEW</t>
  </si>
  <si>
    <t>RNPT</t>
  </si>
  <si>
    <t>Safra</t>
  </si>
  <si>
    <t>SANB Unit</t>
  </si>
  <si>
    <t>SCHAIN</t>
  </si>
  <si>
    <t>SDIA - PRGA</t>
  </si>
  <si>
    <t>SEB</t>
  </si>
  <si>
    <t>SEBB</t>
  </si>
  <si>
    <t>Shavit</t>
  </si>
  <si>
    <t>Skud</t>
  </si>
  <si>
    <t>SOCOPA</t>
  </si>
  <si>
    <t>SPINELLI</t>
  </si>
  <si>
    <t>StrongOpen</t>
  </si>
  <si>
    <t>SZPQ</t>
  </si>
  <si>
    <t>SZPQ - BRTP</t>
  </si>
  <si>
    <t>TAM</t>
  </si>
  <si>
    <t>TAMM</t>
  </si>
  <si>
    <t>TCSL</t>
  </si>
  <si>
    <t>TCSL ON-PN</t>
  </si>
  <si>
    <t>TEND - GFSA</t>
  </si>
  <si>
    <t>TF IBOV Modelo 1</t>
  </si>
  <si>
    <t>TF IBOV Modelo 2</t>
  </si>
  <si>
    <t>TF LF Dol</t>
  </si>
  <si>
    <t>TF LF Ind</t>
  </si>
  <si>
    <t>TFIBOV</t>
  </si>
  <si>
    <t>TIVIT</t>
  </si>
  <si>
    <t>TMAR-BRT</t>
  </si>
  <si>
    <t>TNLP</t>
  </si>
  <si>
    <t>Tomahawk</t>
  </si>
  <si>
    <t>TOV</t>
  </si>
  <si>
    <t>TPIS</t>
  </si>
  <si>
    <t>Trend ST Rates-17</t>
  </si>
  <si>
    <t>TRNA</t>
  </si>
  <si>
    <t>TRPL</t>
  </si>
  <si>
    <t>TVIT</t>
  </si>
  <si>
    <t>UBBR4 - ITAU4</t>
  </si>
  <si>
    <t>UM</t>
  </si>
  <si>
    <t>UOL</t>
  </si>
  <si>
    <t>UOLL</t>
  </si>
  <si>
    <t xml:space="preserve">US-MAR-10 </t>
  </si>
  <si>
    <t>USIM</t>
  </si>
  <si>
    <t>USIM-A</t>
  </si>
  <si>
    <t>USIM5</t>
  </si>
  <si>
    <t>VAGR</t>
  </si>
  <si>
    <t>VALE</t>
  </si>
  <si>
    <t>VALE-FERT</t>
  </si>
  <si>
    <t>ValueBZ</t>
  </si>
  <si>
    <t>VGOR</t>
  </si>
  <si>
    <t>VIVO</t>
  </si>
  <si>
    <t>VIVO ON-PN</t>
  </si>
  <si>
    <t>VIVO-TLPP</t>
  </si>
  <si>
    <t>VOL</t>
  </si>
  <si>
    <t>XP</t>
  </si>
  <si>
    <t>YARA</t>
  </si>
  <si>
    <t>Quant</t>
  </si>
  <si>
    <t>Arb</t>
  </si>
  <si>
    <t>Fia</t>
  </si>
  <si>
    <t>Mile</t>
  </si>
  <si>
    <t>Nest</t>
  </si>
  <si>
    <t>Account</t>
  </si>
  <si>
    <t>ErrorEnqSB</t>
  </si>
  <si>
    <t>ErrorSB</t>
  </si>
  <si>
    <t>Sent</t>
  </si>
  <si>
    <t>Execution Report</t>
  </si>
  <si>
    <t>AppOrdID</t>
  </si>
  <si>
    <t>AppCXlRplID</t>
  </si>
  <si>
    <t>ReplacedbyReqID</t>
  </si>
  <si>
    <t>LeavesQty</t>
  </si>
  <si>
    <t>TradeDate</t>
  </si>
  <si>
    <t>sb://192.168.0.215:10000</t>
  </si>
  <si>
    <t>sb://192.168.0.215:10001</t>
  </si>
  <si>
    <t>sb://192.168.0.215:10002</t>
  </si>
  <si>
    <t>Date</t>
  </si>
  <si>
    <t>Sections</t>
  </si>
  <si>
    <t>curdate</t>
  </si>
  <si>
    <t>*</t>
  </si>
  <si>
    <t>Missiles</t>
  </si>
  <si>
    <t>AppCxlRplID</t>
  </si>
  <si>
    <t>Command</t>
  </si>
  <si>
    <t>Book</t>
  </si>
  <si>
    <t>Section</t>
  </si>
  <si>
    <t>Size</t>
  </si>
  <si>
    <t>OrderType</t>
  </si>
  <si>
    <t>DataIni</t>
  </si>
  <si>
    <t>DataFim</t>
  </si>
  <si>
    <t>Regua</t>
  </si>
  <si>
    <t>DivAdjust</t>
  </si>
  <si>
    <t>Desc</t>
  </si>
  <si>
    <t>Tickers</t>
  </si>
  <si>
    <t>TipoDado</t>
  </si>
  <si>
    <t>Source</t>
  </si>
  <si>
    <t>LAST</t>
  </si>
  <si>
    <t>LOW</t>
  </si>
  <si>
    <t>HIGH</t>
  </si>
  <si>
    <t>Null</t>
  </si>
  <si>
    <t>NEW</t>
  </si>
  <si>
    <t>ONCLOSE</t>
  </si>
  <si>
    <t>BUY</t>
  </si>
  <si>
    <t>SELL</t>
  </si>
  <si>
    <t>WINV12</t>
  </si>
  <si>
    <t>AMBV4</t>
  </si>
  <si>
    <t>CMIG4</t>
  </si>
  <si>
    <t>MGLU3</t>
  </si>
  <si>
    <t>BRPR3</t>
  </si>
  <si>
    <t>BVMF3</t>
  </si>
  <si>
    <t>CIEL3</t>
  </si>
  <si>
    <t>DASA3</t>
  </si>
  <si>
    <t>ELPL4</t>
  </si>
  <si>
    <t>HYPE3</t>
  </si>
  <si>
    <t>IGTA3</t>
  </si>
  <si>
    <t>MULT3</t>
  </si>
  <si>
    <t>RAPT4</t>
  </si>
  <si>
    <t>UGPA3</t>
  </si>
  <si>
    <t>USIM3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</si>
</sst>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[$-416]dd\-mmm\-yy;@"/>
  </numFmts>
  <fonts count="3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49" fontId="2" fillId="0" borderId="0" xfId="0" applyNumberFormat="1" applyFont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0" borderId="0" xfId="0" applyFont="1"/>
    <xf numFmtId="0" fontId="0" fillId="0" borderId="0" xfId="0" applyProtection="1">
      <protection locked="0"/>
    </xf>
    <xf numFmtId="0" fontId="1" fillId="0" borderId="0" xfId="0" applyNumberFormat="1" applyFont="1" applyAlignment="1">
      <alignment horizontal="center"/>
    </xf>
    <xf numFmtId="0" fontId="2" fillId="0" borderId="0" xfId="0" applyNumberFormat="1" applyFont="1"/>
    <xf numFmtId="0" fontId="0" fillId="0" borderId="0" xfId="0" applyNumberFormat="1"/>
    <xf numFmtId="0" fontId="0" fillId="2" borderId="0" xfId="0" applyFill="1"/>
    <xf numFmtId="0" fontId="0" fillId="3" borderId="0" xfId="0" applyFill="1"/>
    <xf numFmtId="165" fontId="0" fillId="4" borderId="0" xfId="0" applyNumberFormat="1" applyFill="1"/>
    <xf numFmtId="165" fontId="0" fillId="0" borderId="0" xfId="0" applyNumberFormat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volatileDependencies.xml><?xml version="1.0" encoding="utf-8"?>
<volTypes xmlns="http://schemas.openxmlformats.org/spreadsheetml/2006/main">
  <volType type="realTimeData">
    <main first="streambase.rtd">
      <tp t="e">
        <v>#N/A</v>
        <stp/>
        <stp>STREAM:AppOut</stp>
        <stp>FIELD:LeavesQty</stp>
        <stp>TUPLENUM:83</stp>
        <tr r="AG85" s="3"/>
      </tp>
      <tp t="e">
        <v>#N/A</v>
        <stp/>
        <stp>STREAM:AppOut</stp>
        <stp>FIELD:LeavesQty</stp>
        <stp>TUPLENUM:82</stp>
        <tr r="AG84" s="3"/>
      </tp>
      <tp t="e">
        <v>#N/A</v>
        <stp/>
        <stp>STREAM:AppOut</stp>
        <stp>FIELD:LeavesQty</stp>
        <stp>TUPLENUM:81</stp>
        <tr r="AG83" s="3"/>
      </tp>
      <tp t="e">
        <v>#N/A</v>
        <stp/>
        <stp>STREAM:AppOut</stp>
        <stp>FIELD:LeavesQty</stp>
        <stp>TUPLENUM:80</stp>
        <tr r="AG82" s="3"/>
      </tp>
      <tp t="e">
        <v>#N/A</v>
        <stp/>
        <stp>STREAM:AppOut</stp>
        <stp>FIELD:LeavesQty</stp>
        <stp>TUPLENUM:87</stp>
        <tr r="AG89" s="3"/>
      </tp>
      <tp t="e">
        <v>#N/A</v>
        <stp/>
        <stp>STREAM:AppOut</stp>
        <stp>FIELD:LeavesQty</stp>
        <stp>TUPLENUM:86</stp>
        <tr r="AG88" s="3"/>
      </tp>
      <tp t="e">
        <v>#N/A</v>
        <stp/>
        <stp>STREAM:AppOut</stp>
        <stp>FIELD:LeavesQty</stp>
        <stp>TUPLENUM:85</stp>
        <tr r="AG87" s="3"/>
      </tp>
      <tp t="e">
        <v>#N/A</v>
        <stp/>
        <stp>STREAM:AppOut</stp>
        <stp>FIELD:LeavesQty</stp>
        <stp>TUPLENUM:84</stp>
        <tr r="AG86" s="3"/>
      </tp>
      <tp t="e">
        <v>#N/A</v>
        <stp/>
        <stp>STREAM:AppOut</stp>
        <stp>FIELD:LeavesQty</stp>
        <stp>TUPLENUM:89</stp>
        <tr r="AG91" s="3"/>
      </tp>
      <tp t="e">
        <v>#N/A</v>
        <stp/>
        <stp>STREAM:AppOut</stp>
        <stp>FIELD:LeavesQty</stp>
        <stp>TUPLENUM:88</stp>
        <tr r="AG90" s="3"/>
      </tp>
      <tp t="e">
        <v>#N/A</v>
        <stp/>
        <stp>STREAM:AppOut</stp>
        <stp>FIELD:LeavesQty</stp>
        <stp>TUPLENUM:93</stp>
        <tr r="AG95" s="3"/>
      </tp>
      <tp t="e">
        <v>#N/A</v>
        <stp/>
        <stp>STREAM:AppOut</stp>
        <stp>FIELD:LeavesQty</stp>
        <stp>TUPLENUM:92</stp>
        <tr r="AG94" s="3"/>
      </tp>
      <tp t="e">
        <v>#N/A</v>
        <stp/>
        <stp>STREAM:AppOut</stp>
        <stp>FIELD:LeavesQty</stp>
        <stp>TUPLENUM:91</stp>
        <tr r="AG93" s="3"/>
      </tp>
      <tp t="e">
        <v>#N/A</v>
        <stp/>
        <stp>STREAM:AppOut</stp>
        <stp>FIELD:LeavesQty</stp>
        <stp>TUPLENUM:90</stp>
        <tr r="AG92" s="3"/>
      </tp>
      <tp t="e">
        <v>#N/A</v>
        <stp/>
        <stp>STREAM:AppOut</stp>
        <stp>FIELD:LeavesQty</stp>
        <stp>TUPLENUM:97</stp>
        <tr r="AG99" s="3"/>
      </tp>
      <tp t="e">
        <v>#N/A</v>
        <stp/>
        <stp>STREAM:AppOut</stp>
        <stp>FIELD:LeavesQty</stp>
        <stp>TUPLENUM:96</stp>
        <tr r="AG98" s="3"/>
      </tp>
      <tp t="e">
        <v>#N/A</v>
        <stp/>
        <stp>STREAM:AppOut</stp>
        <stp>FIELD:LeavesQty</stp>
        <stp>TUPLENUM:95</stp>
        <tr r="AG97" s="3"/>
      </tp>
      <tp t="e">
        <v>#N/A</v>
        <stp/>
        <stp>STREAM:AppOut</stp>
        <stp>FIELD:LeavesQty</stp>
        <stp>TUPLENUM:94</stp>
        <tr r="AG96" s="3"/>
      </tp>
      <tp t="e">
        <v>#N/A</v>
        <stp/>
        <stp>STREAM:AppOut</stp>
        <stp>FIELD:LeavesQty</stp>
        <stp>TUPLENUM:99</stp>
        <tr r="AG101" s="3"/>
      </tp>
      <tp t="e">
        <v>#N/A</v>
        <stp/>
        <stp>STREAM:AppOut</stp>
        <stp>FIELD:LeavesQty</stp>
        <stp>TUPLENUM:98</stp>
        <tr r="AG100" s="3"/>
      </tp>
      <tp t="e">
        <v>#N/A</v>
        <stp/>
        <stp>STREAM:AppOut</stp>
        <stp>FIELD:LeavesQty</stp>
        <stp>TUPLENUM:63</stp>
        <tr r="AG65" s="3"/>
      </tp>
      <tp t="e">
        <v>#N/A</v>
        <stp/>
        <stp>STREAM:AppOut</stp>
        <stp>FIELD:LeavesQty</stp>
        <stp>TUPLENUM:62</stp>
        <tr r="AG64" s="3"/>
      </tp>
      <tp t="e">
        <v>#N/A</v>
        <stp/>
        <stp>STREAM:AppOut</stp>
        <stp>FIELD:LeavesQty</stp>
        <stp>TUPLENUM:61</stp>
        <tr r="AG63" s="3"/>
      </tp>
      <tp t="e">
        <v>#N/A</v>
        <stp/>
        <stp>STREAM:AppOut</stp>
        <stp>FIELD:LeavesQty</stp>
        <stp>TUPLENUM:60</stp>
        <tr r="AG62" s="3"/>
      </tp>
      <tp t="e">
        <v>#N/A</v>
        <stp/>
        <stp>STREAM:AppOut</stp>
        <stp>FIELD:LeavesQty</stp>
        <stp>TUPLENUM:67</stp>
        <tr r="AG69" s="3"/>
      </tp>
      <tp t="e">
        <v>#N/A</v>
        <stp/>
        <stp>STREAM:AppOut</stp>
        <stp>FIELD:LeavesQty</stp>
        <stp>TUPLENUM:66</stp>
        <tr r="AG68" s="3"/>
      </tp>
      <tp t="e">
        <v>#N/A</v>
        <stp/>
        <stp>STREAM:AppOut</stp>
        <stp>FIELD:LeavesQty</stp>
        <stp>TUPLENUM:65</stp>
        <tr r="AG67" s="3"/>
      </tp>
      <tp t="e">
        <v>#N/A</v>
        <stp/>
        <stp>STREAM:AppOut</stp>
        <stp>FIELD:LeavesQty</stp>
        <stp>TUPLENUM:64</stp>
        <tr r="AG66" s="3"/>
      </tp>
      <tp t="e">
        <v>#N/A</v>
        <stp/>
        <stp>STREAM:AppOut</stp>
        <stp>FIELD:LeavesQty</stp>
        <stp>TUPLENUM:69</stp>
        <tr r="AG71" s="3"/>
      </tp>
      <tp t="e">
        <v>#N/A</v>
        <stp/>
        <stp>STREAM:AppOut</stp>
        <stp>FIELD:LeavesQty</stp>
        <stp>TUPLENUM:68</stp>
        <tr r="AG70" s="3"/>
      </tp>
      <tp t="e">
        <v>#N/A</v>
        <stp/>
        <stp>STREAM:AppOut</stp>
        <stp>FIELD:LeavesQty</stp>
        <stp>TUPLENUM:73</stp>
        <tr r="AG75" s="3"/>
      </tp>
      <tp t="e">
        <v>#N/A</v>
        <stp/>
        <stp>STREAM:AppOut</stp>
        <stp>FIELD:LeavesQty</stp>
        <stp>TUPLENUM:72</stp>
        <tr r="AG74" s="3"/>
      </tp>
      <tp t="e">
        <v>#N/A</v>
        <stp/>
        <stp>STREAM:AppOut</stp>
        <stp>FIELD:LeavesQty</stp>
        <stp>TUPLENUM:71</stp>
        <tr r="AG73" s="3"/>
      </tp>
      <tp t="e">
        <v>#N/A</v>
        <stp/>
        <stp>STREAM:AppOut</stp>
        <stp>FIELD:LeavesQty</stp>
        <stp>TUPLENUM:70</stp>
        <tr r="AG72" s="3"/>
      </tp>
      <tp t="e">
        <v>#N/A</v>
        <stp/>
        <stp>STREAM:AppOut</stp>
        <stp>FIELD:LeavesQty</stp>
        <stp>TUPLENUM:77</stp>
        <tr r="AG79" s="3"/>
      </tp>
      <tp t="e">
        <v>#N/A</v>
        <stp/>
        <stp>STREAM:AppOut</stp>
        <stp>FIELD:LeavesQty</stp>
        <stp>TUPLENUM:76</stp>
        <tr r="AG78" s="3"/>
      </tp>
      <tp t="e">
        <v>#N/A</v>
        <stp/>
        <stp>STREAM:AppOut</stp>
        <stp>FIELD:LeavesQty</stp>
        <stp>TUPLENUM:75</stp>
        <tr r="AG77" s="3"/>
      </tp>
      <tp t="e">
        <v>#N/A</v>
        <stp/>
        <stp>STREAM:AppOut</stp>
        <stp>FIELD:LeavesQty</stp>
        <stp>TUPLENUM:74</stp>
        <tr r="AG76" s="3"/>
      </tp>
      <tp t="e">
        <v>#N/A</v>
        <stp/>
        <stp>STREAM:AppOut</stp>
        <stp>FIELD:LeavesQty</stp>
        <stp>TUPLENUM:79</stp>
        <tr r="AG81" s="3"/>
      </tp>
      <tp t="e">
        <v>#N/A</v>
        <stp/>
        <stp>STREAM:AppOut</stp>
        <stp>FIELD:LeavesQty</stp>
        <stp>TUPLENUM:78</stp>
        <tr r="AG80" s="3"/>
      </tp>
      <tp t="e">
        <v>#N/A</v>
        <stp/>
        <stp>STREAM:AppOut</stp>
        <stp>FIELD:LeavesQty</stp>
        <stp>TUPLENUM:43</stp>
        <tr r="AG45" s="3"/>
      </tp>
      <tp t="e">
        <v>#N/A</v>
        <stp/>
        <stp>STREAM:AppOut</stp>
        <stp>FIELD:LeavesQty</stp>
        <stp>TUPLENUM:42</stp>
        <tr r="AG44" s="3"/>
      </tp>
      <tp t="e">
        <v>#N/A</v>
        <stp/>
        <stp>STREAM:AppOut</stp>
        <stp>FIELD:LeavesQty</stp>
        <stp>TUPLENUM:41</stp>
        <tr r="AG43" s="3"/>
      </tp>
      <tp t="e">
        <v>#N/A</v>
        <stp/>
        <stp>STREAM:AppOut</stp>
        <stp>FIELD:LeavesQty</stp>
        <stp>TUPLENUM:40</stp>
        <tr r="AG42" s="3"/>
      </tp>
      <tp t="e">
        <v>#N/A</v>
        <stp/>
        <stp>STREAM:AppOut</stp>
        <stp>FIELD:LeavesQty</stp>
        <stp>TUPLENUM:47</stp>
        <tr r="AG49" s="3"/>
      </tp>
      <tp t="e">
        <v>#N/A</v>
        <stp/>
        <stp>STREAM:AppOut</stp>
        <stp>FIELD:LeavesQty</stp>
        <stp>TUPLENUM:46</stp>
        <tr r="AG48" s="3"/>
      </tp>
      <tp t="e">
        <v>#N/A</v>
        <stp/>
        <stp>STREAM:AppOut</stp>
        <stp>FIELD:LeavesQty</stp>
        <stp>TUPLENUM:45</stp>
        <tr r="AG47" s="3"/>
      </tp>
      <tp t="e">
        <v>#N/A</v>
        <stp/>
        <stp>STREAM:AppOut</stp>
        <stp>FIELD:LeavesQty</stp>
        <stp>TUPLENUM:44</stp>
        <tr r="AG46" s="3"/>
      </tp>
      <tp t="e">
        <v>#N/A</v>
        <stp/>
        <stp>STREAM:AppOut</stp>
        <stp>FIELD:LeavesQty</stp>
        <stp>TUPLENUM:49</stp>
        <tr r="AG51" s="3"/>
      </tp>
      <tp t="e">
        <v>#N/A</v>
        <stp/>
        <stp>STREAM:AppOut</stp>
        <stp>FIELD:LeavesQty</stp>
        <stp>TUPLENUM:48</stp>
        <tr r="AG50" s="3"/>
      </tp>
      <tp t="e">
        <v>#N/A</v>
        <stp/>
        <stp>STREAM:AppOut</stp>
        <stp>FIELD:LeavesQty</stp>
        <stp>TUPLENUM:53</stp>
        <tr r="AG55" s="3"/>
      </tp>
      <tp t="e">
        <v>#N/A</v>
        <stp/>
        <stp>STREAM:AppOut</stp>
        <stp>FIELD:LeavesQty</stp>
        <stp>TUPLENUM:52</stp>
        <tr r="AG54" s="3"/>
      </tp>
      <tp t="e">
        <v>#N/A</v>
        <stp/>
        <stp>STREAM:AppOut</stp>
        <stp>FIELD:LeavesQty</stp>
        <stp>TUPLENUM:51</stp>
        <tr r="AG53" s="3"/>
      </tp>
      <tp t="e">
        <v>#N/A</v>
        <stp/>
        <stp>STREAM:AppOut</stp>
        <stp>FIELD:LeavesQty</stp>
        <stp>TUPLENUM:50</stp>
        <tr r="AG52" s="3"/>
      </tp>
      <tp t="e">
        <v>#N/A</v>
        <stp/>
        <stp>STREAM:AppOut</stp>
        <stp>FIELD:LeavesQty</stp>
        <stp>TUPLENUM:57</stp>
        <tr r="AG59" s="3"/>
      </tp>
      <tp t="e">
        <v>#N/A</v>
        <stp/>
        <stp>STREAM:AppOut</stp>
        <stp>FIELD:LeavesQty</stp>
        <stp>TUPLENUM:56</stp>
        <tr r="AG58" s="3"/>
      </tp>
      <tp t="e">
        <v>#N/A</v>
        <stp/>
        <stp>STREAM:AppOut</stp>
        <stp>FIELD:LeavesQty</stp>
        <stp>TUPLENUM:55</stp>
        <tr r="AG57" s="3"/>
      </tp>
      <tp t="e">
        <v>#N/A</v>
        <stp/>
        <stp>STREAM:AppOut</stp>
        <stp>FIELD:LeavesQty</stp>
        <stp>TUPLENUM:54</stp>
        <tr r="AG56" s="3"/>
      </tp>
      <tp t="e">
        <v>#N/A</v>
        <stp/>
        <stp>STREAM:AppOut</stp>
        <stp>FIELD:LeavesQty</stp>
        <stp>TUPLENUM:59</stp>
        <tr r="AG61" s="3"/>
      </tp>
      <tp t="e">
        <v>#N/A</v>
        <stp/>
        <stp>STREAM:AppOut</stp>
        <stp>FIELD:LeavesQty</stp>
        <stp>TUPLENUM:58</stp>
        <tr r="AG60" s="3"/>
      </tp>
      <tp t="e">
        <v>#N/A</v>
        <stp/>
        <stp>STREAM:AppOut</stp>
        <stp>FIELD:LeavesQty</stp>
        <stp>TUPLENUM:23</stp>
        <tr r="AG25" s="3"/>
      </tp>
      <tp t="e">
        <v>#N/A</v>
        <stp/>
        <stp>STREAM:AppOut</stp>
        <stp>FIELD:LeavesQty</stp>
        <stp>TUPLENUM:22</stp>
        <tr r="AG24" s="3"/>
      </tp>
      <tp t="e">
        <v>#N/A</v>
        <stp/>
        <stp>STREAM:AppOut</stp>
        <stp>FIELD:LeavesQty</stp>
        <stp>TUPLENUM:21</stp>
        <tr r="AG23" s="3"/>
      </tp>
      <tp t="e">
        <v>#N/A</v>
        <stp/>
        <stp>STREAM:AppOut</stp>
        <stp>FIELD:LeavesQty</stp>
        <stp>TUPLENUM:20</stp>
        <tr r="AG22" s="3"/>
      </tp>
      <tp t="e">
        <v>#N/A</v>
        <stp/>
        <stp>STREAM:AppOut</stp>
        <stp>FIELD:LeavesQty</stp>
        <stp>TUPLENUM:27</stp>
        <tr r="AG29" s="3"/>
      </tp>
      <tp t="e">
        <v>#N/A</v>
        <stp/>
        <stp>STREAM:AppOut</stp>
        <stp>FIELD:LeavesQty</stp>
        <stp>TUPLENUM:26</stp>
        <tr r="AG28" s="3"/>
      </tp>
      <tp t="e">
        <v>#N/A</v>
        <stp/>
        <stp>STREAM:AppOut</stp>
        <stp>FIELD:LeavesQty</stp>
        <stp>TUPLENUM:25</stp>
        <tr r="AG27" s="3"/>
      </tp>
      <tp t="e">
        <v>#N/A</v>
        <stp/>
        <stp>STREAM:AppOut</stp>
        <stp>FIELD:LeavesQty</stp>
        <stp>TUPLENUM:24</stp>
        <tr r="AG26" s="3"/>
      </tp>
      <tp t="e">
        <v>#N/A</v>
        <stp/>
        <stp>STREAM:AppOut</stp>
        <stp>FIELD:LeavesQty</stp>
        <stp>TUPLENUM:29</stp>
        <tr r="AG31" s="3"/>
      </tp>
      <tp t="e">
        <v>#N/A</v>
        <stp/>
        <stp>STREAM:AppOut</stp>
        <stp>FIELD:LeavesQty</stp>
        <stp>TUPLENUM:28</stp>
        <tr r="AG30" s="3"/>
      </tp>
      <tp t="e">
        <v>#N/A</v>
        <stp/>
        <stp>STREAM:AppOut</stp>
        <stp>FIELD:LeavesQty</stp>
        <stp>TUPLENUM:33</stp>
        <tr r="AG35" s="3"/>
      </tp>
      <tp t="e">
        <v>#N/A</v>
        <stp/>
        <stp>STREAM:AppOut</stp>
        <stp>FIELD:LeavesQty</stp>
        <stp>TUPLENUM:32</stp>
        <tr r="AG34" s="3"/>
      </tp>
      <tp t="e">
        <v>#N/A</v>
        <stp/>
        <stp>STREAM:AppOut</stp>
        <stp>FIELD:LeavesQty</stp>
        <stp>TUPLENUM:31</stp>
        <tr r="AG33" s="3"/>
      </tp>
      <tp t="e">
        <v>#N/A</v>
        <stp/>
        <stp>STREAM:AppOut</stp>
        <stp>FIELD:LeavesQty</stp>
        <stp>TUPLENUM:30</stp>
        <tr r="AG32" s="3"/>
      </tp>
      <tp t="e">
        <v>#N/A</v>
        <stp/>
        <stp>STREAM:AppOut</stp>
        <stp>FIELD:LeavesQty</stp>
        <stp>TUPLENUM:37</stp>
        <tr r="AG39" s="3"/>
      </tp>
      <tp t="e">
        <v>#N/A</v>
        <stp/>
        <stp>STREAM:AppOut</stp>
        <stp>FIELD:LeavesQty</stp>
        <stp>TUPLENUM:36</stp>
        <tr r="AG38" s="3"/>
      </tp>
      <tp t="e">
        <v>#N/A</v>
        <stp/>
        <stp>STREAM:AppOut</stp>
        <stp>FIELD:LeavesQty</stp>
        <stp>TUPLENUM:35</stp>
        <tr r="AG37" s="3"/>
      </tp>
      <tp t="e">
        <v>#N/A</v>
        <stp/>
        <stp>STREAM:AppOut</stp>
        <stp>FIELD:LeavesQty</stp>
        <stp>TUPLENUM:34</stp>
        <tr r="AG36" s="3"/>
      </tp>
      <tp t="e">
        <v>#N/A</v>
        <stp/>
        <stp>STREAM:AppOut</stp>
        <stp>FIELD:LeavesQty</stp>
        <stp>TUPLENUM:39</stp>
        <tr r="AG41" s="3"/>
      </tp>
      <tp t="e">
        <v>#N/A</v>
        <stp/>
        <stp>STREAM:AppOut</stp>
        <stp>FIELD:LeavesQty</stp>
        <stp>TUPLENUM:38</stp>
        <tr r="AG40" s="3"/>
      </tp>
      <tp t="e">
        <v>#N/A</v>
        <stp/>
        <stp>STREAM:AppOut</stp>
        <stp>FIELD:LeavesQty</stp>
        <stp>TUPLENUM:13</stp>
        <tr r="AG15" s="3"/>
      </tp>
      <tp t="e">
        <v>#N/A</v>
        <stp/>
        <stp>STREAM:AppOut</stp>
        <stp>FIELD:LeavesQty</stp>
        <stp>TUPLENUM:12</stp>
        <tr r="AG14" s="3"/>
      </tp>
      <tp t="e">
        <v>#N/A</v>
        <stp/>
        <stp>STREAM:AppOut</stp>
        <stp>FIELD:LeavesQty</stp>
        <stp>TUPLENUM:11</stp>
        <tr r="AG13" s="3"/>
      </tp>
      <tp t="e">
        <v>#N/A</v>
        <stp/>
        <stp>STREAM:AppOut</stp>
        <stp>FIELD:LeavesQty</stp>
        <stp>TUPLENUM:10</stp>
        <tr r="AG12" s="3"/>
      </tp>
      <tp t="e">
        <v>#N/A</v>
        <stp/>
        <stp>STREAM:AppOut</stp>
        <stp>FIELD:LeavesQty</stp>
        <stp>TUPLENUM:17</stp>
        <tr r="AG19" s="3"/>
      </tp>
      <tp t="e">
        <v>#N/A</v>
        <stp/>
        <stp>STREAM:AppOut</stp>
        <stp>FIELD:LeavesQty</stp>
        <stp>TUPLENUM:16</stp>
        <tr r="AG18" s="3"/>
      </tp>
      <tp t="e">
        <v>#N/A</v>
        <stp/>
        <stp>STREAM:AppOut</stp>
        <stp>FIELD:LeavesQty</stp>
        <stp>TUPLENUM:15</stp>
        <tr r="AG17" s="3"/>
      </tp>
      <tp t="e">
        <v>#N/A</v>
        <stp/>
        <stp>STREAM:AppOut</stp>
        <stp>FIELD:LeavesQty</stp>
        <stp>TUPLENUM:14</stp>
        <tr r="AG16" s="3"/>
      </tp>
      <tp t="e">
        <v>#N/A</v>
        <stp/>
        <stp>STREAM:AppOut</stp>
        <stp>FIELD:LeavesQty</stp>
        <stp>TUPLENUM:19</stp>
        <tr r="AG21" s="3"/>
      </tp>
      <tp t="e">
        <v>#N/A</v>
        <stp/>
        <stp>STREAM:AppOut</stp>
        <stp>FIELD:LeavesQty</stp>
        <stp>TUPLENUM:18</stp>
        <tr r="AG20" s="3"/>
      </tp>
      <tp t="e">
        <v>#N/A</v>
        <stp/>
        <stp>STREAM:AppOut</stp>
        <stp>FIELD:UpdateNumber</stp>
        <stp>TUPLENUM:9</stp>
        <tr r="AD11" s="3"/>
      </tp>
      <tp t="e">
        <v>#N/A</v>
        <stp/>
        <stp>STREAM:AppOut</stp>
        <stp>FIELD:UpdateNumber</stp>
        <stp>TUPLENUM:8</stp>
        <tr r="AD10" s="3"/>
      </tp>
      <tp t="e">
        <v>#N/A</v>
        <stp/>
        <stp>STREAM:AppOut</stp>
        <stp>FIELD:UpdateNumber</stp>
        <stp>TUPLENUM:7</stp>
        <tr r="AD9" s="3"/>
      </tp>
      <tp t="e">
        <v>#N/A</v>
        <stp/>
        <stp>STREAM:AppOut</stp>
        <stp>FIELD:UpdateNumber</stp>
        <stp>TUPLENUM:6</stp>
        <tr r="AD8" s="3"/>
      </tp>
      <tp t="e">
        <v>#N/A</v>
        <stp/>
        <stp>STREAM:AppOut</stp>
        <stp>FIELD:UpdateNumber</stp>
        <stp>TUPLENUM:5</stp>
        <tr r="AD7" s="3"/>
      </tp>
      <tp t="e">
        <v>#N/A</v>
        <stp/>
        <stp>STREAM:AppOut</stp>
        <stp>FIELD:UpdateNumber</stp>
        <stp>TUPLENUM:4</stp>
        <tr r="AD6" s="3"/>
      </tp>
      <tp t="e">
        <v>#N/A</v>
        <stp/>
        <stp>STREAM:AppOut</stp>
        <stp>FIELD:UpdateNumber</stp>
        <stp>TUPLENUM:3</stp>
        <tr r="AD5" s="3"/>
      </tp>
      <tp t="e">
        <v>#N/A</v>
        <stp/>
        <stp>STREAM:AppOut</stp>
        <stp>FIELD:UpdateNumber</stp>
        <stp>TUPLENUM:2</stp>
        <tr r="AD4" s="3"/>
      </tp>
      <tp t="e">
        <v>#N/A</v>
        <stp/>
        <stp>STREAM:AppOut</stp>
        <stp>FIELD:UpdateNumber</stp>
        <stp>TUPLENUM:1</stp>
        <tr r="AD3" s="3"/>
      </tp>
      <tp t="e">
        <v>#N/A</v>
        <stp/>
        <stp>STREAM:AppOut</stp>
        <stp>FIELD:BuySell</stp>
        <stp>TUPLENUM:139</stp>
        <tr r="Y141" s="3"/>
      </tp>
      <tp t="e">
        <v>#N/A</v>
        <stp/>
        <stp>STREAM:AppOut</stp>
        <stp>FIELD:BuySell</stp>
        <stp>TUPLENUM:138</stp>
        <tr r="Y140" s="3"/>
      </tp>
      <tp t="e">
        <v>#N/A</v>
        <stp/>
        <stp>STREAM:AppOut</stp>
        <stp>FIELD:BuySell</stp>
        <stp>TUPLENUM:131</stp>
        <tr r="Y133" s="3"/>
      </tp>
      <tp t="e">
        <v>#N/A</v>
        <stp/>
        <stp>STREAM:AppOut</stp>
        <stp>FIELD:BuySell</stp>
        <stp>TUPLENUM:130</stp>
        <tr r="Y132" s="3"/>
      </tp>
      <tp t="e">
        <v>#N/A</v>
        <stp/>
        <stp>STREAM:AppOut</stp>
        <stp>FIELD:BuySell</stp>
        <stp>TUPLENUM:133</stp>
        <tr r="Y135" s="3"/>
      </tp>
      <tp t="e">
        <v>#N/A</v>
        <stp/>
        <stp>STREAM:AppOut</stp>
        <stp>FIELD:BuySell</stp>
        <stp>TUPLENUM:132</stp>
        <tr r="Y134" s="3"/>
      </tp>
      <tp t="e">
        <v>#N/A</v>
        <stp/>
        <stp>STREAM:AppOut</stp>
        <stp>FIELD:BuySell</stp>
        <stp>TUPLENUM:135</stp>
        <tr r="Y137" s="3"/>
      </tp>
      <tp t="e">
        <v>#N/A</v>
        <stp/>
        <stp>STREAM:AppOut</stp>
        <stp>FIELD:BuySell</stp>
        <stp>TUPLENUM:134</stp>
        <tr r="Y136" s="3"/>
      </tp>
      <tp t="e">
        <v>#N/A</v>
        <stp/>
        <stp>STREAM:AppOut</stp>
        <stp>FIELD:BuySell</stp>
        <stp>TUPLENUM:137</stp>
        <tr r="Y139" s="3"/>
      </tp>
      <tp t="e">
        <v>#N/A</v>
        <stp/>
        <stp>STREAM:AppOut</stp>
        <stp>FIELD:BuySell</stp>
        <stp>TUPLENUM:136</stp>
        <tr r="Y138" s="3"/>
      </tp>
      <tp t="e">
        <v>#N/A</v>
        <stp/>
        <stp>STREAM:AppOut</stp>
        <stp>FIELD:BuySell</stp>
        <stp>TUPLENUM:129</stp>
        <tr r="Y131" s="3"/>
      </tp>
      <tp t="e">
        <v>#N/A</v>
        <stp/>
        <stp>STREAM:AppOut</stp>
        <stp>FIELD:BuySell</stp>
        <stp>TUPLENUM:128</stp>
        <tr r="Y130" s="3"/>
      </tp>
      <tp t="e">
        <v>#N/A</v>
        <stp/>
        <stp>STREAM:AppOut</stp>
        <stp>FIELD:BuySell</stp>
        <stp>TUPLENUM:121</stp>
        <tr r="Y123" s="3"/>
      </tp>
      <tp t="e">
        <v>#N/A</v>
        <stp/>
        <stp>STREAM:AppOut</stp>
        <stp>FIELD:BuySell</stp>
        <stp>TUPLENUM:120</stp>
        <tr r="Y122" s="3"/>
      </tp>
      <tp t="e">
        <v>#N/A</v>
        <stp/>
        <stp>STREAM:AppOut</stp>
        <stp>FIELD:BuySell</stp>
        <stp>TUPLENUM:123</stp>
        <tr r="Y125" s="3"/>
      </tp>
      <tp t="e">
        <v>#N/A</v>
        <stp/>
        <stp>STREAM:AppOut</stp>
        <stp>FIELD:BuySell</stp>
        <stp>TUPLENUM:122</stp>
        <tr r="Y124" s="3"/>
      </tp>
      <tp t="e">
        <v>#N/A</v>
        <stp/>
        <stp>STREAM:AppOut</stp>
        <stp>FIELD:BuySell</stp>
        <stp>TUPLENUM:125</stp>
        <tr r="Y127" s="3"/>
      </tp>
      <tp t="e">
        <v>#N/A</v>
        <stp/>
        <stp>STREAM:AppOut</stp>
        <stp>FIELD:BuySell</stp>
        <stp>TUPLENUM:124</stp>
        <tr r="Y126" s="3"/>
      </tp>
      <tp t="e">
        <v>#N/A</v>
        <stp/>
        <stp>STREAM:AppOut</stp>
        <stp>FIELD:BuySell</stp>
        <stp>TUPLENUM:127</stp>
        <tr r="Y129" s="3"/>
      </tp>
      <tp t="e">
        <v>#N/A</v>
        <stp/>
        <stp>STREAM:AppOut</stp>
        <stp>FIELD:BuySell</stp>
        <stp>TUPLENUM:126</stp>
        <tr r="Y128" s="3"/>
      </tp>
      <tp t="e">
        <v>#N/A</v>
        <stp/>
        <stp>STREAM:AppOut</stp>
        <stp>FIELD:BuySell</stp>
        <stp>TUPLENUM:119</stp>
        <tr r="Y121" s="3"/>
      </tp>
      <tp t="e">
        <v>#N/A</v>
        <stp/>
        <stp>STREAM:AppOut</stp>
        <stp>FIELD:BuySell</stp>
        <stp>TUPLENUM:118</stp>
        <tr r="Y120" s="3"/>
      </tp>
      <tp t="e">
        <v>#N/A</v>
        <stp/>
        <stp>STREAM:AppOut</stp>
        <stp>FIELD:BuySell</stp>
        <stp>TUPLENUM:111</stp>
        <tr r="Y113" s="3"/>
      </tp>
      <tp t="e">
        <v>#N/A</v>
        <stp/>
        <stp>STREAM:AppOut</stp>
        <stp>FIELD:BuySell</stp>
        <stp>TUPLENUM:110</stp>
        <tr r="Y112" s="3"/>
      </tp>
      <tp t="e">
        <v>#N/A</v>
        <stp/>
        <stp>STREAM:AppOut</stp>
        <stp>FIELD:BuySell</stp>
        <stp>TUPLENUM:113</stp>
        <tr r="Y115" s="3"/>
      </tp>
      <tp t="e">
        <v>#N/A</v>
        <stp/>
        <stp>STREAM:AppOut</stp>
        <stp>FIELD:BuySell</stp>
        <stp>TUPLENUM:112</stp>
        <tr r="Y114" s="3"/>
      </tp>
      <tp t="e">
        <v>#N/A</v>
        <stp/>
        <stp>STREAM:AppOut</stp>
        <stp>FIELD:BuySell</stp>
        <stp>TUPLENUM:115</stp>
        <tr r="Y117" s="3"/>
      </tp>
      <tp t="e">
        <v>#N/A</v>
        <stp/>
        <stp>STREAM:AppOut</stp>
        <stp>FIELD:BuySell</stp>
        <stp>TUPLENUM:114</stp>
        <tr r="Y116" s="3"/>
      </tp>
      <tp t="e">
        <v>#N/A</v>
        <stp/>
        <stp>STREAM:AppOut</stp>
        <stp>FIELD:BuySell</stp>
        <stp>TUPLENUM:117</stp>
        <tr r="Y119" s="3"/>
      </tp>
      <tp t="e">
        <v>#N/A</v>
        <stp/>
        <stp>STREAM:AppOut</stp>
        <stp>FIELD:BuySell</stp>
        <stp>TUPLENUM:116</stp>
        <tr r="Y118" s="3"/>
      </tp>
      <tp t="e">
        <v>#N/A</v>
        <stp/>
        <stp>STREAM:AppOut</stp>
        <stp>FIELD:BuySell</stp>
        <stp>TUPLENUM:109</stp>
        <tr r="Y111" s="3"/>
      </tp>
      <tp t="e">
        <v>#N/A</v>
        <stp/>
        <stp>STREAM:AppOut</stp>
        <stp>FIELD:BuySell</stp>
        <stp>TUPLENUM:108</stp>
        <tr r="Y110" s="3"/>
      </tp>
      <tp t="e">
        <v>#N/A</v>
        <stp/>
        <stp>STREAM:AppOut</stp>
        <stp>FIELD:BuySell</stp>
        <stp>TUPLENUM:101</stp>
        <tr r="Y103" s="3"/>
      </tp>
      <tp t="e">
        <v>#N/A</v>
        <stp/>
        <stp>STREAM:AppOut</stp>
        <stp>FIELD:BuySell</stp>
        <stp>TUPLENUM:100</stp>
        <tr r="Y102" s="3"/>
      </tp>
      <tp t="e">
        <v>#N/A</v>
        <stp/>
        <stp>STREAM:AppOut</stp>
        <stp>FIELD:BuySell</stp>
        <stp>TUPLENUM:103</stp>
        <tr r="Y105" s="3"/>
      </tp>
      <tp t="e">
        <v>#N/A</v>
        <stp/>
        <stp>STREAM:AppOut</stp>
        <stp>FIELD:BuySell</stp>
        <stp>TUPLENUM:102</stp>
        <tr r="Y104" s="3"/>
      </tp>
      <tp t="e">
        <v>#N/A</v>
        <stp/>
        <stp>STREAM:AppOut</stp>
        <stp>FIELD:BuySell</stp>
        <stp>TUPLENUM:105</stp>
        <tr r="Y107" s="3"/>
      </tp>
      <tp t="e">
        <v>#N/A</v>
        <stp/>
        <stp>STREAM:AppOut</stp>
        <stp>FIELD:BuySell</stp>
        <stp>TUPLENUM:104</stp>
        <tr r="Y106" s="3"/>
      </tp>
      <tp t="e">
        <v>#N/A</v>
        <stp/>
        <stp>STREAM:AppOut</stp>
        <stp>FIELD:BuySell</stp>
        <stp>TUPLENUM:107</stp>
        <tr r="Y109" s="3"/>
      </tp>
      <tp t="e">
        <v>#N/A</v>
        <stp/>
        <stp>STREAM:AppOut</stp>
        <stp>FIELD:BuySell</stp>
        <stp>TUPLENUM:106</stp>
        <tr r="Y108" s="3"/>
      </tp>
      <tp t="e">
        <v>#N/A</v>
        <stp/>
        <stp>STREAM:AppOut</stp>
        <stp>FIELD:BuySell</stp>
        <stp>TUPLENUM:140</stp>
        <tr r="Y142" s="3"/>
      </tp>
      <tp t="e">
        <v>#N/A</v>
        <stp/>
        <stp>STREAM:AppOut</stp>
        <stp>FIELD:AppOrdID</stp>
        <stp>TUPLENUM:118</stp>
        <tr r="U120" s="3"/>
      </tp>
      <tp t="e">
        <v>#N/A</v>
        <stp/>
        <stp>STREAM:AppOut</stp>
        <stp>FIELD:AppOrdID</stp>
        <stp>TUPLENUM:119</stp>
        <tr r="U121" s="3"/>
      </tp>
      <tp t="e">
        <v>#N/A</v>
        <stp/>
        <stp>STREAM:AppOut</stp>
        <stp>FIELD:AppOrdID</stp>
        <stp>TUPLENUM:110</stp>
        <tr r="U112" s="3"/>
      </tp>
      <tp t="e">
        <v>#N/A</v>
        <stp/>
        <stp>STREAM:AppOut</stp>
        <stp>FIELD:AppOrdID</stp>
        <stp>TUPLENUM:111</stp>
        <tr r="U113" s="3"/>
      </tp>
      <tp t="e">
        <v>#N/A</v>
        <stp/>
        <stp>STREAM:AppOut</stp>
        <stp>FIELD:AppOrdID</stp>
        <stp>TUPLENUM:112</stp>
        <tr r="U114" s="3"/>
      </tp>
      <tp t="e">
        <v>#N/A</v>
        <stp/>
        <stp>STREAM:AppOut</stp>
        <stp>FIELD:AppOrdID</stp>
        <stp>TUPLENUM:113</stp>
        <tr r="U115" s="3"/>
      </tp>
      <tp t="e">
        <v>#N/A</v>
        <stp/>
        <stp>STREAM:AppOut</stp>
        <stp>FIELD:AppOrdID</stp>
        <stp>TUPLENUM:114</stp>
        <tr r="U116" s="3"/>
      </tp>
      <tp t="e">
        <v>#N/A</v>
        <stp/>
        <stp>STREAM:AppOut</stp>
        <stp>FIELD:AppOrdID</stp>
        <stp>TUPLENUM:115</stp>
        <tr r="U117" s="3"/>
      </tp>
      <tp t="e">
        <v>#N/A</v>
        <stp/>
        <stp>STREAM:AppOut</stp>
        <stp>FIELD:AppOrdID</stp>
        <stp>TUPLENUM:116</stp>
        <tr r="U118" s="3"/>
      </tp>
      <tp t="e">
        <v>#N/A</v>
        <stp/>
        <stp>STREAM:AppOut</stp>
        <stp>FIELD:AppOrdID</stp>
        <stp>TUPLENUM:117</stp>
        <tr r="U119" s="3"/>
      </tp>
      <tp t="e">
        <v>#N/A</v>
        <stp/>
        <stp>STREAM:AppOut</stp>
        <stp>FIELD:AppOrdID</stp>
        <stp>TUPLENUM:108</stp>
        <tr r="U110" s="3"/>
      </tp>
      <tp t="e">
        <v>#N/A</v>
        <stp/>
        <stp>STREAM:AppOut</stp>
        <stp>FIELD:AppOrdID</stp>
        <stp>TUPLENUM:109</stp>
        <tr r="U111" s="3"/>
      </tp>
      <tp t="e">
        <v>#N/A</v>
        <stp/>
        <stp>STREAM:AppOut</stp>
        <stp>FIELD:AppOrdID</stp>
        <stp>TUPLENUM:100</stp>
        <tr r="U102" s="3"/>
      </tp>
      <tp t="e">
        <v>#N/A</v>
        <stp/>
        <stp>STREAM:AppOut</stp>
        <stp>FIELD:AppOrdID</stp>
        <stp>TUPLENUM:101</stp>
        <tr r="U103" s="3"/>
      </tp>
      <tp t="e">
        <v>#N/A</v>
        <stp/>
        <stp>STREAM:AppOut</stp>
        <stp>FIELD:AppOrdID</stp>
        <stp>TUPLENUM:102</stp>
        <tr r="U104" s="3"/>
      </tp>
      <tp t="e">
        <v>#N/A</v>
        <stp/>
        <stp>STREAM:AppOut</stp>
        <stp>FIELD:AppOrdID</stp>
        <stp>TUPLENUM:103</stp>
        <tr r="U105" s="3"/>
      </tp>
      <tp t="e">
        <v>#N/A</v>
        <stp/>
        <stp>STREAM:AppOut</stp>
        <stp>FIELD:AppOrdID</stp>
        <stp>TUPLENUM:104</stp>
        <tr r="U106" s="3"/>
      </tp>
      <tp t="e">
        <v>#N/A</v>
        <stp/>
        <stp>STREAM:AppOut</stp>
        <stp>FIELD:AppOrdID</stp>
        <stp>TUPLENUM:105</stp>
        <tr r="U107" s="3"/>
      </tp>
      <tp t="e">
        <v>#N/A</v>
        <stp/>
        <stp>STREAM:AppOut</stp>
        <stp>FIELD:AppOrdID</stp>
        <stp>TUPLENUM:106</stp>
        <tr r="U108" s="3"/>
      </tp>
      <tp t="e">
        <v>#N/A</v>
        <stp/>
        <stp>STREAM:AppOut</stp>
        <stp>FIELD:AppOrdID</stp>
        <stp>TUPLENUM:107</stp>
        <tr r="U109" s="3"/>
      </tp>
      <tp t="e">
        <v>#N/A</v>
        <stp/>
        <stp>STREAM:AppOut</stp>
        <stp>FIELD:AppOrdID</stp>
        <stp>TUPLENUM:138</stp>
        <tr r="U140" s="3"/>
      </tp>
      <tp t="e">
        <v>#N/A</v>
        <stp/>
        <stp>STREAM:AppOut</stp>
        <stp>FIELD:AppOrdID</stp>
        <stp>TUPLENUM:139</stp>
        <tr r="U141" s="3"/>
      </tp>
      <tp t="e">
        <v>#N/A</v>
        <stp/>
        <stp>STREAM:AppOut</stp>
        <stp>FIELD:AppOrdID</stp>
        <stp>TUPLENUM:130</stp>
        <tr r="U132" s="3"/>
      </tp>
      <tp t="e">
        <v>#N/A</v>
        <stp/>
        <stp>STREAM:AppOut</stp>
        <stp>FIELD:AppOrdID</stp>
        <stp>TUPLENUM:131</stp>
        <tr r="U133" s="3"/>
      </tp>
      <tp t="e">
        <v>#N/A</v>
        <stp/>
        <stp>STREAM:AppOut</stp>
        <stp>FIELD:AppOrdID</stp>
        <stp>TUPLENUM:132</stp>
        <tr r="U134" s="3"/>
      </tp>
      <tp t="e">
        <v>#N/A</v>
        <stp/>
        <stp>STREAM:AppOut</stp>
        <stp>FIELD:AppOrdID</stp>
        <stp>TUPLENUM:133</stp>
        <tr r="U135" s="3"/>
      </tp>
      <tp t="e">
        <v>#N/A</v>
        <stp/>
        <stp>STREAM:AppOut</stp>
        <stp>FIELD:AppOrdID</stp>
        <stp>TUPLENUM:134</stp>
        <tr r="U136" s="3"/>
      </tp>
      <tp t="e">
        <v>#N/A</v>
        <stp/>
        <stp>STREAM:AppOut</stp>
        <stp>FIELD:AppOrdID</stp>
        <stp>TUPLENUM:135</stp>
        <tr r="U137" s="3"/>
      </tp>
      <tp t="e">
        <v>#N/A</v>
        <stp/>
        <stp>STREAM:AppOut</stp>
        <stp>FIELD:AppOrdID</stp>
        <stp>TUPLENUM:136</stp>
        <tr r="U138" s="3"/>
      </tp>
      <tp t="e">
        <v>#N/A</v>
        <stp/>
        <stp>STREAM:AppOut</stp>
        <stp>FIELD:AppOrdID</stp>
        <stp>TUPLENUM:137</stp>
        <tr r="U139" s="3"/>
      </tp>
      <tp t="e">
        <v>#N/A</v>
        <stp/>
        <stp>STREAM:AppOut</stp>
        <stp>FIELD:AppOrdID</stp>
        <stp>TUPLENUM:128</stp>
        <tr r="U130" s="3"/>
      </tp>
      <tp t="e">
        <v>#N/A</v>
        <stp/>
        <stp>STREAM:AppOut</stp>
        <stp>FIELD:AppOrdID</stp>
        <stp>TUPLENUM:129</stp>
        <tr r="U131" s="3"/>
      </tp>
      <tp t="e">
        <v>#N/A</v>
        <stp/>
        <stp>STREAM:AppOut</stp>
        <stp>FIELD:AppOrdID</stp>
        <stp>TUPLENUM:120</stp>
        <tr r="U122" s="3"/>
      </tp>
      <tp t="e">
        <v>#N/A</v>
        <stp/>
        <stp>STREAM:AppOut</stp>
        <stp>FIELD:AppOrdID</stp>
        <stp>TUPLENUM:121</stp>
        <tr r="U123" s="3"/>
      </tp>
      <tp t="e">
        <v>#N/A</v>
        <stp/>
        <stp>STREAM:AppOut</stp>
        <stp>FIELD:AppOrdID</stp>
        <stp>TUPLENUM:122</stp>
        <tr r="U124" s="3"/>
      </tp>
      <tp t="e">
        <v>#N/A</v>
        <stp/>
        <stp>STREAM:AppOut</stp>
        <stp>FIELD:AppOrdID</stp>
        <stp>TUPLENUM:123</stp>
        <tr r="U125" s="3"/>
      </tp>
      <tp t="e">
        <v>#N/A</v>
        <stp/>
        <stp>STREAM:AppOut</stp>
        <stp>FIELD:AppOrdID</stp>
        <stp>TUPLENUM:124</stp>
        <tr r="U126" s="3"/>
      </tp>
      <tp t="e">
        <v>#N/A</v>
        <stp/>
        <stp>STREAM:AppOut</stp>
        <stp>FIELD:AppOrdID</stp>
        <stp>TUPLENUM:125</stp>
        <tr r="U127" s="3"/>
      </tp>
      <tp t="e">
        <v>#N/A</v>
        <stp/>
        <stp>STREAM:AppOut</stp>
        <stp>FIELD:AppOrdID</stp>
        <stp>TUPLENUM:126</stp>
        <tr r="U128" s="3"/>
      </tp>
      <tp t="e">
        <v>#N/A</v>
        <stp/>
        <stp>STREAM:AppOut</stp>
        <stp>FIELD:AppOrdID</stp>
        <stp>TUPLENUM:127</stp>
        <tr r="U129" s="3"/>
      </tp>
      <tp t="e">
        <v>#N/A</v>
        <stp/>
        <stp>STREAM:AppOut</stp>
        <stp>FIELD:AppOrdID</stp>
        <stp>TUPLENUM:140</stp>
        <tr r="U142" s="3"/>
      </tp>
      <tp t="e">
        <v>#N/A</v>
        <stp/>
        <stp>STREAM:AppOut</stp>
        <stp>FIELD:OrderStatus</stp>
        <stp>LOCALFILTER:AppOrdID=="18_11_231_009"</stp>
        <tr r="A10" s="3"/>
      </tp>
      <tp t="e">
        <v>#N/A</v>
        <stp/>
        <stp>STREAM:AppOut</stp>
        <stp>FIELD:OrderStatus</stp>
        <stp>LOCALFILTER:AppOrdID=="18_11_231_008"</stp>
        <tr r="A9" s="3"/>
      </tp>
      <tp t="e">
        <v>#N/A</v>
        <stp/>
        <stp>STREAM:AppOut</stp>
        <stp>FIELD:OrderStatus</stp>
        <stp>LOCALFILTER:AppOrdID=="18_11_231_003"</stp>
        <tr r="A4" s="3"/>
      </tp>
      <tp t="e">
        <v>#N/A</v>
        <stp/>
        <stp>STREAM:AppOut</stp>
        <stp>FIELD:OrderStatus</stp>
        <stp>LOCALFILTER:AppOrdID=="18_11_231_002"</stp>
        <tr r="A3" s="3"/>
      </tp>
      <tp t="e">
        <v>#N/A</v>
        <stp/>
        <stp>STREAM:AppOut</stp>
        <stp>FIELD:OrderStatus</stp>
        <stp>LOCALFILTER:AppOrdID=="18_11_231_001"</stp>
        <tr r="A2" s="3"/>
      </tp>
      <tp t="e">
        <v>#N/A</v>
        <stp/>
        <stp>STREAM:AppOut</stp>
        <stp>FIELD:OrderStatus</stp>
        <stp>LOCALFILTER:AppOrdID=="18_11_231_007"</stp>
        <tr r="A8" s="3"/>
      </tp>
      <tp t="e">
        <v>#N/A</v>
        <stp/>
        <stp>STREAM:AppOut</stp>
        <stp>FIELD:OrderStatus</stp>
        <stp>LOCALFILTER:AppOrdID=="18_11_231_006"</stp>
        <tr r="A7" s="3"/>
      </tp>
      <tp t="e">
        <v>#N/A</v>
        <stp/>
        <stp>STREAM:AppOut</stp>
        <stp>FIELD:OrderStatus</stp>
        <stp>LOCALFILTER:AppOrdID=="18_11_231_005"</stp>
        <tr r="A6" s="3"/>
      </tp>
      <tp t="e">
        <v>#N/A</v>
        <stp/>
        <stp>STREAM:AppOut</stp>
        <stp>FIELD:OrderStatus</stp>
        <stp>LOCALFILTER:AppOrdID=="18_11_231_004"</stp>
        <tr r="A5" s="3"/>
      </tp>
      <tp t="e">
        <v>#N/A</v>
        <stp/>
        <stp>STREAM:AppOut</stp>
        <stp>FIELD:AppOrdID</stp>
        <stp>TUPLENUM:99</stp>
        <tr r="U101" s="3"/>
      </tp>
      <tp t="e">
        <v>#N/A</v>
        <stp/>
        <stp>STREAM:AppOut</stp>
        <stp>FIELD:AppOrdID</stp>
        <stp>TUPLENUM:98</stp>
        <tr r="U100" s="3"/>
      </tp>
      <tp t="e">
        <v>#N/A</v>
        <stp/>
        <stp>STREAM:AppOut</stp>
        <stp>FIELD:AppOrdID</stp>
        <stp>TUPLENUM:91</stp>
        <tr r="U93" s="3"/>
      </tp>
      <tp t="e">
        <v>#N/A</v>
        <stp/>
        <stp>STREAM:AppOut</stp>
        <stp>FIELD:AppOrdID</stp>
        <stp>TUPLENUM:90</stp>
        <tr r="U92" s="3"/>
      </tp>
      <tp t="e">
        <v>#N/A</v>
        <stp/>
        <stp>STREAM:AppOut</stp>
        <stp>FIELD:AppOrdID</stp>
        <stp>TUPLENUM:93</stp>
        <tr r="U95" s="3"/>
      </tp>
      <tp t="e">
        <v>#N/A</v>
        <stp/>
        <stp>STREAM:AppOut</stp>
        <stp>FIELD:AppOrdID</stp>
        <stp>TUPLENUM:92</stp>
        <tr r="U94" s="3"/>
      </tp>
      <tp t="e">
        <v>#N/A</v>
        <stp/>
        <stp>STREAM:AppOut</stp>
        <stp>FIELD:AppOrdID</stp>
        <stp>TUPLENUM:95</stp>
        <tr r="U97" s="3"/>
      </tp>
      <tp t="e">
        <v>#N/A</v>
        <stp/>
        <stp>STREAM:AppOut</stp>
        <stp>FIELD:AppOrdID</stp>
        <stp>TUPLENUM:94</stp>
        <tr r="U96" s="3"/>
      </tp>
      <tp t="e">
        <v>#N/A</v>
        <stp/>
        <stp>STREAM:AppOut</stp>
        <stp>FIELD:AppOrdID</stp>
        <stp>TUPLENUM:97</stp>
        <tr r="U99" s="3"/>
      </tp>
      <tp t="e">
        <v>#N/A</v>
        <stp/>
        <stp>STREAM:AppOut</stp>
        <stp>FIELD:AppOrdID</stp>
        <stp>TUPLENUM:96</stp>
        <tr r="U98" s="3"/>
      </tp>
      <tp t="e">
        <v>#N/A</v>
        <stp/>
        <stp>STREAM:AppOut</stp>
        <stp>FIELD:AppOrdID</stp>
        <stp>TUPLENUM:89</stp>
        <tr r="U91" s="3"/>
      </tp>
      <tp t="e">
        <v>#N/A</v>
        <stp/>
        <stp>STREAM:AppOut</stp>
        <stp>FIELD:AppOrdID</stp>
        <stp>TUPLENUM:88</stp>
        <tr r="U90" s="3"/>
      </tp>
      <tp t="e">
        <v>#N/A</v>
        <stp/>
        <stp>STREAM:AppOut</stp>
        <stp>FIELD:AppOrdID</stp>
        <stp>TUPLENUM:81</stp>
        <tr r="U83" s="3"/>
      </tp>
      <tp t="e">
        <v>#N/A</v>
        <stp/>
        <stp>STREAM:AppOut</stp>
        <stp>FIELD:AppOrdID</stp>
        <stp>TUPLENUM:80</stp>
        <tr r="U82" s="3"/>
      </tp>
      <tp t="e">
        <v>#N/A</v>
        <stp/>
        <stp>STREAM:AppOut</stp>
        <stp>FIELD:AppOrdID</stp>
        <stp>TUPLENUM:83</stp>
        <tr r="U85" s="3"/>
      </tp>
      <tp t="e">
        <v>#N/A</v>
        <stp/>
        <stp>STREAM:AppOut</stp>
        <stp>FIELD:AppOrdID</stp>
        <stp>TUPLENUM:82</stp>
        <tr r="U84" s="3"/>
      </tp>
      <tp t="e">
        <v>#N/A</v>
        <stp/>
        <stp>STREAM:AppOut</stp>
        <stp>FIELD:AppOrdID</stp>
        <stp>TUPLENUM:85</stp>
        <tr r="U87" s="3"/>
      </tp>
      <tp t="e">
        <v>#N/A</v>
        <stp/>
        <stp>STREAM:AppOut</stp>
        <stp>FIELD:AppOrdID</stp>
        <stp>TUPLENUM:84</stp>
        <tr r="U86" s="3"/>
      </tp>
      <tp t="e">
        <v>#N/A</v>
        <stp/>
        <stp>STREAM:AppOut</stp>
        <stp>FIELD:AppOrdID</stp>
        <stp>TUPLENUM:87</stp>
        <tr r="U89" s="3"/>
      </tp>
      <tp t="e">
        <v>#N/A</v>
        <stp/>
        <stp>STREAM:AppOut</stp>
        <stp>FIELD:AppOrdID</stp>
        <stp>TUPLENUM:86</stp>
        <tr r="U88" s="3"/>
      </tp>
      <tp t="e">
        <v>#N/A</v>
        <stp/>
        <stp>STREAM:AppOut</stp>
        <stp>FIELD:AppOrdID</stp>
        <stp>TUPLENUM:19</stp>
        <tr r="U21" s="3"/>
      </tp>
      <tp t="e">
        <v>#N/A</v>
        <stp/>
        <stp>STREAM:AppOut</stp>
        <stp>FIELD:AppOrdID</stp>
        <stp>TUPLENUM:18</stp>
        <tr r="U20" s="3"/>
      </tp>
      <tp t="e">
        <v>#N/A</v>
        <stp/>
        <stp>STREAM:AppOut</stp>
        <stp>FIELD:AppOrdID</stp>
        <stp>TUPLENUM:11</stp>
        <tr r="U13" s="3"/>
      </tp>
      <tp t="e">
        <v>#N/A</v>
        <stp/>
        <stp>STREAM:AppOut</stp>
        <stp>FIELD:AppOrdID</stp>
        <stp>TUPLENUM:10</stp>
        <tr r="U12" s="3"/>
      </tp>
      <tp t="e">
        <v>#N/A</v>
        <stp/>
        <stp>STREAM:AppOut</stp>
        <stp>FIELD:AppOrdID</stp>
        <stp>TUPLENUM:13</stp>
        <tr r="U15" s="3"/>
      </tp>
      <tp t="e">
        <v>#N/A</v>
        <stp/>
        <stp>STREAM:AppOut</stp>
        <stp>FIELD:AppOrdID</stp>
        <stp>TUPLENUM:12</stp>
        <tr r="U14" s="3"/>
      </tp>
      <tp t="e">
        <v>#N/A</v>
        <stp/>
        <stp>STREAM:AppOut</stp>
        <stp>FIELD:AppOrdID</stp>
        <stp>TUPLENUM:15</stp>
        <tr r="U17" s="3"/>
      </tp>
      <tp t="e">
        <v>#N/A</v>
        <stp/>
        <stp>STREAM:AppOut</stp>
        <stp>FIELD:AppOrdID</stp>
        <stp>TUPLENUM:14</stp>
        <tr r="U16" s="3"/>
      </tp>
      <tp t="e">
        <v>#N/A</v>
        <stp/>
        <stp>STREAM:AppOut</stp>
        <stp>FIELD:AppOrdID</stp>
        <stp>TUPLENUM:17</stp>
        <tr r="U19" s="3"/>
      </tp>
      <tp t="e">
        <v>#N/A</v>
        <stp/>
        <stp>STREAM:AppOut</stp>
        <stp>FIELD:AppOrdID</stp>
        <stp>TUPLENUM:16</stp>
        <tr r="U18" s="3"/>
      </tp>
      <tp t="e">
        <v>#N/A</v>
        <stp/>
        <stp>STREAM:AppOut</stp>
        <stp>FIELD:AppOrdID</stp>
        <stp>TUPLENUM:39</stp>
        <tr r="U41" s="3"/>
      </tp>
      <tp t="e">
        <v>#N/A</v>
        <stp/>
        <stp>STREAM:AppOut</stp>
        <stp>FIELD:AppOrdID</stp>
        <stp>TUPLENUM:38</stp>
        <tr r="U40" s="3"/>
      </tp>
      <tp t="e">
        <v>#N/A</v>
        <stp/>
        <stp>STREAM:AppOut</stp>
        <stp>FIELD:AppOrdID</stp>
        <stp>TUPLENUM:31</stp>
        <tr r="U33" s="3"/>
      </tp>
      <tp t="e">
        <v>#N/A</v>
        <stp/>
        <stp>STREAM:AppOut</stp>
        <stp>FIELD:AppOrdID</stp>
        <stp>TUPLENUM:30</stp>
        <tr r="U32" s="3"/>
      </tp>
      <tp t="e">
        <v>#N/A</v>
        <stp/>
        <stp>STREAM:AppOut</stp>
        <stp>FIELD:AppOrdID</stp>
        <stp>TUPLENUM:33</stp>
        <tr r="U35" s="3"/>
      </tp>
      <tp t="e">
        <v>#N/A</v>
        <stp/>
        <stp>STREAM:AppOut</stp>
        <stp>FIELD:AppOrdID</stp>
        <stp>TUPLENUM:32</stp>
        <tr r="U34" s="3"/>
      </tp>
      <tp t="e">
        <v>#N/A</v>
        <stp/>
        <stp>STREAM:AppOut</stp>
        <stp>FIELD:AppOrdID</stp>
        <stp>TUPLENUM:35</stp>
        <tr r="U37" s="3"/>
      </tp>
      <tp t="e">
        <v>#N/A</v>
        <stp/>
        <stp>STREAM:AppOut</stp>
        <stp>FIELD:AppOrdID</stp>
        <stp>TUPLENUM:34</stp>
        <tr r="U36" s="3"/>
      </tp>
      <tp t="e">
        <v>#N/A</v>
        <stp/>
        <stp>STREAM:AppOut</stp>
        <stp>FIELD:AppOrdID</stp>
        <stp>TUPLENUM:37</stp>
        <tr r="U39" s="3"/>
      </tp>
      <tp t="e">
        <v>#N/A</v>
        <stp/>
        <stp>STREAM:AppOut</stp>
        <stp>FIELD:AppOrdID</stp>
        <stp>TUPLENUM:36</stp>
        <tr r="U38" s="3"/>
      </tp>
      <tp t="e">
        <v>#N/A</v>
        <stp/>
        <stp>STREAM:AppOut</stp>
        <stp>FIELD:AppOrdID</stp>
        <stp>TUPLENUM:29</stp>
        <tr r="U31" s="3"/>
      </tp>
      <tp t="e">
        <v>#N/A</v>
        <stp/>
        <stp>STREAM:AppOut</stp>
        <stp>FIELD:AppOrdID</stp>
        <stp>TUPLENUM:28</stp>
        <tr r="U30" s="3"/>
      </tp>
      <tp t="e">
        <v>#N/A</v>
        <stp/>
        <stp>STREAM:AppOut</stp>
        <stp>FIELD:AppOrdID</stp>
        <stp>TUPLENUM:21</stp>
        <tr r="U23" s="3"/>
      </tp>
      <tp t="e">
        <v>#N/A</v>
        <stp/>
        <stp>STREAM:AppOut</stp>
        <stp>FIELD:AppOrdID</stp>
        <stp>TUPLENUM:20</stp>
        <tr r="U22" s="3"/>
      </tp>
      <tp t="e">
        <v>#N/A</v>
        <stp/>
        <stp>STREAM:AppOut</stp>
        <stp>FIELD:AppOrdID</stp>
        <stp>TUPLENUM:23</stp>
        <tr r="U25" s="3"/>
      </tp>
      <tp t="e">
        <v>#N/A</v>
        <stp/>
        <stp>STREAM:AppOut</stp>
        <stp>FIELD:AppOrdID</stp>
        <stp>TUPLENUM:22</stp>
        <tr r="U24" s="3"/>
      </tp>
      <tp t="e">
        <v>#N/A</v>
        <stp/>
        <stp>STREAM:AppOut</stp>
        <stp>FIELD:AppOrdID</stp>
        <stp>TUPLENUM:25</stp>
        <tr r="U27" s="3"/>
      </tp>
      <tp t="e">
        <v>#N/A</v>
        <stp/>
        <stp>STREAM:AppOut</stp>
        <stp>FIELD:AppOrdID</stp>
        <stp>TUPLENUM:24</stp>
        <tr r="U26" s="3"/>
      </tp>
      <tp t="e">
        <v>#N/A</v>
        <stp/>
        <stp>STREAM:AppOut</stp>
        <stp>FIELD:AppOrdID</stp>
        <stp>TUPLENUM:27</stp>
        <tr r="U29" s="3"/>
      </tp>
      <tp t="e">
        <v>#N/A</v>
        <stp/>
        <stp>STREAM:AppOut</stp>
        <stp>FIELD:AppOrdID</stp>
        <stp>TUPLENUM:26</stp>
        <tr r="U28" s="3"/>
      </tp>
      <tp t="e">
        <v>#N/A</v>
        <stp/>
        <stp>STREAM:AppOut</stp>
        <stp>FIELD:AppOrdID</stp>
        <stp>TUPLENUM:59</stp>
        <tr r="U61" s="3"/>
      </tp>
      <tp t="e">
        <v>#N/A</v>
        <stp/>
        <stp>STREAM:AppOut</stp>
        <stp>FIELD:AppOrdID</stp>
        <stp>TUPLENUM:58</stp>
        <tr r="U60" s="3"/>
      </tp>
      <tp t="e">
        <v>#N/A</v>
        <stp/>
        <stp>STREAM:AppOut</stp>
        <stp>FIELD:AppOrdID</stp>
        <stp>TUPLENUM:51</stp>
        <tr r="U53" s="3"/>
      </tp>
      <tp t="e">
        <v>#N/A</v>
        <stp/>
        <stp>STREAM:AppOut</stp>
        <stp>FIELD:AppOrdID</stp>
        <stp>TUPLENUM:50</stp>
        <tr r="U52" s="3"/>
      </tp>
      <tp t="e">
        <v>#N/A</v>
        <stp/>
        <stp>STREAM:AppOut</stp>
        <stp>FIELD:AppOrdID</stp>
        <stp>TUPLENUM:53</stp>
        <tr r="U55" s="3"/>
      </tp>
      <tp t="e">
        <v>#N/A</v>
        <stp/>
        <stp>STREAM:AppOut</stp>
        <stp>FIELD:AppOrdID</stp>
        <stp>TUPLENUM:52</stp>
        <tr r="U54" s="3"/>
      </tp>
      <tp t="e">
        <v>#N/A</v>
        <stp/>
        <stp>STREAM:AppOut</stp>
        <stp>FIELD:AppOrdID</stp>
        <stp>TUPLENUM:55</stp>
        <tr r="U57" s="3"/>
      </tp>
      <tp t="e">
        <v>#N/A</v>
        <stp/>
        <stp>STREAM:AppOut</stp>
        <stp>FIELD:AppOrdID</stp>
        <stp>TUPLENUM:54</stp>
        <tr r="U56" s="3"/>
      </tp>
      <tp t="e">
        <v>#N/A</v>
        <stp/>
        <stp>STREAM:AppOut</stp>
        <stp>FIELD:AppOrdID</stp>
        <stp>TUPLENUM:57</stp>
        <tr r="U59" s="3"/>
      </tp>
      <tp t="e">
        <v>#N/A</v>
        <stp/>
        <stp>STREAM:AppOut</stp>
        <stp>FIELD:AppOrdID</stp>
        <stp>TUPLENUM:56</stp>
        <tr r="U58" s="3"/>
      </tp>
      <tp t="e">
        <v>#N/A</v>
        <stp/>
        <stp>STREAM:AppOut</stp>
        <stp>FIELD:AppOrdID</stp>
        <stp>TUPLENUM:49</stp>
        <tr r="U51" s="3"/>
      </tp>
      <tp t="e">
        <v>#N/A</v>
        <stp/>
        <stp>STREAM:AppOut</stp>
        <stp>FIELD:AppOrdID</stp>
        <stp>TUPLENUM:48</stp>
        <tr r="U50" s="3"/>
      </tp>
      <tp t="e">
        <v>#N/A</v>
        <stp/>
        <stp>STREAM:AppOut</stp>
        <stp>FIELD:AppOrdID</stp>
        <stp>TUPLENUM:41</stp>
        <tr r="U43" s="3"/>
      </tp>
      <tp t="e">
        <v>#N/A</v>
        <stp/>
        <stp>STREAM:AppOut</stp>
        <stp>FIELD:AppOrdID</stp>
        <stp>TUPLENUM:40</stp>
        <tr r="U42" s="3"/>
      </tp>
      <tp t="e">
        <v>#N/A</v>
        <stp/>
        <stp>STREAM:AppOut</stp>
        <stp>FIELD:AppOrdID</stp>
        <stp>TUPLENUM:43</stp>
        <tr r="U45" s="3"/>
      </tp>
      <tp t="e">
        <v>#N/A</v>
        <stp/>
        <stp>STREAM:AppOut</stp>
        <stp>FIELD:AppOrdID</stp>
        <stp>TUPLENUM:42</stp>
        <tr r="U44" s="3"/>
      </tp>
      <tp t="e">
        <v>#N/A</v>
        <stp/>
        <stp>STREAM:AppOut</stp>
        <stp>FIELD:AppOrdID</stp>
        <stp>TUPLENUM:45</stp>
        <tr r="U47" s="3"/>
      </tp>
      <tp t="e">
        <v>#N/A</v>
        <stp/>
        <stp>STREAM:AppOut</stp>
        <stp>FIELD:AppOrdID</stp>
        <stp>TUPLENUM:44</stp>
        <tr r="U46" s="3"/>
      </tp>
      <tp t="e">
        <v>#N/A</v>
        <stp/>
        <stp>STREAM:AppOut</stp>
        <stp>FIELD:AppOrdID</stp>
        <stp>TUPLENUM:47</stp>
        <tr r="U49" s="3"/>
      </tp>
      <tp t="e">
        <v>#N/A</v>
        <stp/>
        <stp>STREAM:AppOut</stp>
        <stp>FIELD:AppOrdID</stp>
        <stp>TUPLENUM:46</stp>
        <tr r="U48" s="3"/>
      </tp>
      <tp t="e">
        <v>#N/A</v>
        <stp/>
        <stp>STREAM:AppOut</stp>
        <stp>FIELD:AppOrdID</stp>
        <stp>TUPLENUM:79</stp>
        <tr r="U81" s="3"/>
      </tp>
      <tp t="e">
        <v>#N/A</v>
        <stp/>
        <stp>STREAM:AppOut</stp>
        <stp>FIELD:AppOrdID</stp>
        <stp>TUPLENUM:78</stp>
        <tr r="U80" s="3"/>
      </tp>
      <tp t="e">
        <v>#N/A</v>
        <stp/>
        <stp>STREAM:AppOut</stp>
        <stp>FIELD:AppOrdID</stp>
        <stp>TUPLENUM:71</stp>
        <tr r="U73" s="3"/>
      </tp>
      <tp t="e">
        <v>#N/A</v>
        <stp/>
        <stp>STREAM:AppOut</stp>
        <stp>FIELD:AppOrdID</stp>
        <stp>TUPLENUM:70</stp>
        <tr r="U72" s="3"/>
      </tp>
      <tp t="e">
        <v>#N/A</v>
        <stp/>
        <stp>STREAM:AppOut</stp>
        <stp>FIELD:AppOrdID</stp>
        <stp>TUPLENUM:73</stp>
        <tr r="U75" s="3"/>
      </tp>
      <tp t="e">
        <v>#N/A</v>
        <stp/>
        <stp>STREAM:AppOut</stp>
        <stp>FIELD:AppOrdID</stp>
        <stp>TUPLENUM:72</stp>
        <tr r="U74" s="3"/>
      </tp>
      <tp t="e">
        <v>#N/A</v>
        <stp/>
        <stp>STREAM:AppOut</stp>
        <stp>FIELD:AppOrdID</stp>
        <stp>TUPLENUM:75</stp>
        <tr r="U77" s="3"/>
      </tp>
      <tp t="e">
        <v>#N/A</v>
        <stp/>
        <stp>STREAM:AppOut</stp>
        <stp>FIELD:AppOrdID</stp>
        <stp>TUPLENUM:74</stp>
        <tr r="U76" s="3"/>
      </tp>
      <tp t="e">
        <v>#N/A</v>
        <stp/>
        <stp>STREAM:AppOut</stp>
        <stp>FIELD:AppOrdID</stp>
        <stp>TUPLENUM:77</stp>
        <tr r="U79" s="3"/>
      </tp>
      <tp t="e">
        <v>#N/A</v>
        <stp/>
        <stp>STREAM:AppOut</stp>
        <stp>FIELD:AppOrdID</stp>
        <stp>TUPLENUM:76</stp>
        <tr r="U78" s="3"/>
      </tp>
      <tp t="e">
        <v>#N/A</v>
        <stp/>
        <stp>STREAM:AppOut</stp>
        <stp>FIELD:AppOrdID</stp>
        <stp>TUPLENUM:69</stp>
        <tr r="U71" s="3"/>
      </tp>
      <tp t="e">
        <v>#N/A</v>
        <stp/>
        <stp>STREAM:AppOut</stp>
        <stp>FIELD:AppOrdID</stp>
        <stp>TUPLENUM:68</stp>
        <tr r="U70" s="3"/>
      </tp>
      <tp t="e">
        <v>#N/A</v>
        <stp/>
        <stp>STREAM:AppOut</stp>
        <stp>FIELD:AppOrdID</stp>
        <stp>TUPLENUM:61</stp>
        <tr r="U63" s="3"/>
      </tp>
      <tp t="e">
        <v>#N/A</v>
        <stp/>
        <stp>STREAM:AppOut</stp>
        <stp>FIELD:AppOrdID</stp>
        <stp>TUPLENUM:60</stp>
        <tr r="U62" s="3"/>
      </tp>
      <tp t="e">
        <v>#N/A</v>
        <stp/>
        <stp>STREAM:AppOut</stp>
        <stp>FIELD:AppOrdID</stp>
        <stp>TUPLENUM:63</stp>
        <tr r="U65" s="3"/>
      </tp>
      <tp t="e">
        <v>#N/A</v>
        <stp/>
        <stp>STREAM:AppOut</stp>
        <stp>FIELD:AppOrdID</stp>
        <stp>TUPLENUM:62</stp>
        <tr r="U64" s="3"/>
      </tp>
      <tp t="e">
        <v>#N/A</v>
        <stp/>
        <stp>STREAM:AppOut</stp>
        <stp>FIELD:AppOrdID</stp>
        <stp>TUPLENUM:65</stp>
        <tr r="U67" s="3"/>
      </tp>
      <tp t="e">
        <v>#N/A</v>
        <stp/>
        <stp>STREAM:AppOut</stp>
        <stp>FIELD:AppOrdID</stp>
        <stp>TUPLENUM:64</stp>
        <tr r="U66" s="3"/>
      </tp>
      <tp t="e">
        <v>#N/A</v>
        <stp/>
        <stp>STREAM:AppOut</stp>
        <stp>FIELD:AppOrdID</stp>
        <stp>TUPLENUM:67</stp>
        <tr r="U69" s="3"/>
      </tp>
      <tp t="e">
        <v>#N/A</v>
        <stp/>
        <stp>STREAM:AppOut</stp>
        <stp>FIELD:AppOrdID</stp>
        <stp>TUPLENUM:66</stp>
        <tr r="U68" s="3"/>
      </tp>
      <tp t="e">
        <v>#N/A</v>
        <stp/>
        <stp>STREAM:AppOut</stp>
        <stp>FIELD:AvgPx</stp>
        <stp>TUPLENUM:129</stp>
        <tr r="AC131" s="3"/>
      </tp>
      <tp t="e">
        <v>#N/A</v>
        <stp/>
        <stp>STREAM:AppOut</stp>
        <stp>FIELD:AvgPx</stp>
        <stp>TUPLENUM:128</stp>
        <tr r="AC130" s="3"/>
      </tp>
      <tp t="e">
        <v>#N/A</v>
        <stp/>
        <stp>STREAM:AppOut</stp>
        <stp>FIELD:AvgPx</stp>
        <stp>TUPLENUM:125</stp>
        <tr r="AC127" s="3"/>
      </tp>
      <tp t="e">
        <v>#N/A</v>
        <stp/>
        <stp>STREAM:AppOut</stp>
        <stp>FIELD:AvgPx</stp>
        <stp>TUPLENUM:124</stp>
        <tr r="AC126" s="3"/>
      </tp>
      <tp t="e">
        <v>#N/A</v>
        <stp/>
        <stp>STREAM:AppOut</stp>
        <stp>FIELD:AvgPx</stp>
        <stp>TUPLENUM:127</stp>
        <tr r="AC129" s="3"/>
      </tp>
      <tp t="e">
        <v>#N/A</v>
        <stp/>
        <stp>STREAM:AppOut</stp>
        <stp>FIELD:AvgPx</stp>
        <stp>TUPLENUM:126</stp>
        <tr r="AC128" s="3"/>
      </tp>
      <tp t="e">
        <v>#N/A</v>
        <stp/>
        <stp>STREAM:AppOut</stp>
        <stp>FIELD:AvgPx</stp>
        <stp>TUPLENUM:121</stp>
        <tr r="AC123" s="3"/>
      </tp>
      <tp t="e">
        <v>#N/A</v>
        <stp/>
        <stp>STREAM:AppOut</stp>
        <stp>FIELD:AvgPx</stp>
        <stp>TUPLENUM:120</stp>
        <tr r="AC122" s="3"/>
      </tp>
      <tp t="e">
        <v>#N/A</v>
        <stp/>
        <stp>STREAM:AppOut</stp>
        <stp>FIELD:AvgPx</stp>
        <stp>TUPLENUM:123</stp>
        <tr r="AC125" s="3"/>
      </tp>
      <tp t="e">
        <v>#N/A</v>
        <stp/>
        <stp>STREAM:AppOut</stp>
        <stp>FIELD:AvgPx</stp>
        <stp>TUPLENUM:122</stp>
        <tr r="AC124" s="3"/>
      </tp>
      <tp t="e">
        <v>#N/A</v>
        <stp/>
        <stp>STREAM:AppOut</stp>
        <stp>FIELD:AvgPx</stp>
        <stp>TUPLENUM:139</stp>
        <tr r="AC141" s="3"/>
      </tp>
      <tp t="e">
        <v>#N/A</v>
        <stp/>
        <stp>STREAM:AppOut</stp>
        <stp>FIELD:AvgPx</stp>
        <stp>TUPLENUM:138</stp>
        <tr r="AC140" s="3"/>
      </tp>
      <tp t="e">
        <v>#N/A</v>
        <stp/>
        <stp>STREAM:AppOut</stp>
        <stp>FIELD:AvgPx</stp>
        <stp>TUPLENUM:135</stp>
        <tr r="AC137" s="3"/>
      </tp>
      <tp t="e">
        <v>#N/A</v>
        <stp/>
        <stp>STREAM:AppOut</stp>
        <stp>FIELD:AvgPx</stp>
        <stp>TUPLENUM:134</stp>
        <tr r="AC136" s="3"/>
      </tp>
      <tp t="e">
        <v>#N/A</v>
        <stp/>
        <stp>STREAM:AppOut</stp>
        <stp>FIELD:AvgPx</stp>
        <stp>TUPLENUM:137</stp>
        <tr r="AC139" s="3"/>
      </tp>
      <tp t="e">
        <v>#N/A</v>
        <stp/>
        <stp>STREAM:AppOut</stp>
        <stp>FIELD:AvgPx</stp>
        <stp>TUPLENUM:136</stp>
        <tr r="AC138" s="3"/>
      </tp>
      <tp t="e">
        <v>#N/A</v>
        <stp/>
        <stp>STREAM:AppOut</stp>
        <stp>FIELD:AvgPx</stp>
        <stp>TUPLENUM:131</stp>
        <tr r="AC133" s="3"/>
      </tp>
      <tp t="e">
        <v>#N/A</v>
        <stp/>
        <stp>STREAM:AppOut</stp>
        <stp>FIELD:AvgPx</stp>
        <stp>TUPLENUM:130</stp>
        <tr r="AC132" s="3"/>
      </tp>
      <tp t="e">
        <v>#N/A</v>
        <stp/>
        <stp>STREAM:AppOut</stp>
        <stp>FIELD:AvgPx</stp>
        <stp>TUPLENUM:133</stp>
        <tr r="AC135" s="3"/>
      </tp>
      <tp t="e">
        <v>#N/A</v>
        <stp/>
        <stp>STREAM:AppOut</stp>
        <stp>FIELD:AvgPx</stp>
        <stp>TUPLENUM:132</stp>
        <tr r="AC134" s="3"/>
      </tp>
      <tp t="e">
        <v>#N/A</v>
        <stp/>
        <stp>STREAM:AppOut</stp>
        <stp>FIELD:AvgPx</stp>
        <stp>TUPLENUM:109</stp>
        <tr r="AC111" s="3"/>
      </tp>
      <tp t="e">
        <v>#N/A</v>
        <stp/>
        <stp>STREAM:AppOut</stp>
        <stp>FIELD:AvgPx</stp>
        <stp>TUPLENUM:108</stp>
        <tr r="AC110" s="3"/>
      </tp>
      <tp t="e">
        <v>#N/A</v>
        <stp/>
        <stp>STREAM:AppOut</stp>
        <stp>FIELD:AvgPx</stp>
        <stp>TUPLENUM:105</stp>
        <tr r="AC107" s="3"/>
      </tp>
      <tp t="e">
        <v>#N/A</v>
        <stp/>
        <stp>STREAM:AppOut</stp>
        <stp>FIELD:AvgPx</stp>
        <stp>TUPLENUM:104</stp>
        <tr r="AC106" s="3"/>
      </tp>
      <tp t="e">
        <v>#N/A</v>
        <stp/>
        <stp>STREAM:AppOut</stp>
        <stp>FIELD:AvgPx</stp>
        <stp>TUPLENUM:107</stp>
        <tr r="AC109" s="3"/>
      </tp>
      <tp t="e">
        <v>#N/A</v>
        <stp/>
        <stp>STREAM:AppOut</stp>
        <stp>FIELD:AvgPx</stp>
        <stp>TUPLENUM:106</stp>
        <tr r="AC108" s="3"/>
      </tp>
      <tp t="e">
        <v>#N/A</v>
        <stp/>
        <stp>STREAM:AppOut</stp>
        <stp>FIELD:AvgPx</stp>
        <stp>TUPLENUM:101</stp>
        <tr r="AC103" s="3"/>
      </tp>
      <tp t="e">
        <v>#N/A</v>
        <stp/>
        <stp>STREAM:AppOut</stp>
        <stp>FIELD:AvgPx</stp>
        <stp>TUPLENUM:100</stp>
        <tr r="AC102" s="3"/>
      </tp>
      <tp t="e">
        <v>#N/A</v>
        <stp/>
        <stp>STREAM:AppOut</stp>
        <stp>FIELD:AvgPx</stp>
        <stp>TUPLENUM:103</stp>
        <tr r="AC105" s="3"/>
      </tp>
      <tp t="e">
        <v>#N/A</v>
        <stp/>
        <stp>STREAM:AppOut</stp>
        <stp>FIELD:AvgPx</stp>
        <stp>TUPLENUM:102</stp>
        <tr r="AC104" s="3"/>
      </tp>
      <tp t="e">
        <v>#N/A</v>
        <stp/>
        <stp>STREAM:AppOut</stp>
        <stp>FIELD:AvgPx</stp>
        <stp>TUPLENUM:119</stp>
        <tr r="AC121" s="3"/>
      </tp>
      <tp t="e">
        <v>#N/A</v>
        <stp/>
        <stp>STREAM:AppOut</stp>
        <stp>FIELD:AvgPx</stp>
        <stp>TUPLENUM:118</stp>
        <tr r="AC120" s="3"/>
      </tp>
      <tp t="e">
        <v>#N/A</v>
        <stp/>
        <stp>STREAM:AppOut</stp>
        <stp>FIELD:AvgPx</stp>
        <stp>TUPLENUM:115</stp>
        <tr r="AC117" s="3"/>
      </tp>
      <tp t="e">
        <v>#N/A</v>
        <stp/>
        <stp>STREAM:AppOut</stp>
        <stp>FIELD:AvgPx</stp>
        <stp>TUPLENUM:114</stp>
        <tr r="AC116" s="3"/>
      </tp>
      <tp t="e">
        <v>#N/A</v>
        <stp/>
        <stp>STREAM:AppOut</stp>
        <stp>FIELD:AvgPx</stp>
        <stp>TUPLENUM:117</stp>
        <tr r="AC119" s="3"/>
      </tp>
      <tp t="e">
        <v>#N/A</v>
        <stp/>
        <stp>STREAM:AppOut</stp>
        <stp>FIELD:AvgPx</stp>
        <stp>TUPLENUM:116</stp>
        <tr r="AC118" s="3"/>
      </tp>
      <tp t="e">
        <v>#N/A</v>
        <stp/>
        <stp>STREAM:AppOut</stp>
        <stp>FIELD:AvgPx</stp>
        <stp>TUPLENUM:111</stp>
        <tr r="AC113" s="3"/>
      </tp>
      <tp t="e">
        <v>#N/A</v>
        <stp/>
        <stp>STREAM:AppOut</stp>
        <stp>FIELD:AvgPx</stp>
        <stp>TUPLENUM:110</stp>
        <tr r="AC112" s="3"/>
      </tp>
      <tp t="e">
        <v>#N/A</v>
        <stp/>
        <stp>STREAM:AppOut</stp>
        <stp>FIELD:AvgPx</stp>
        <stp>TUPLENUM:113</stp>
        <tr r="AC115" s="3"/>
      </tp>
      <tp t="e">
        <v>#N/A</v>
        <stp/>
        <stp>STREAM:AppOut</stp>
        <stp>FIELD:AvgPx</stp>
        <stp>TUPLENUM:112</stp>
        <tr r="AC114" s="3"/>
      </tp>
      <tp t="e">
        <v>#N/A</v>
        <stp/>
        <stp>STREAM:AppOut</stp>
        <stp>FIELD:AvgPx</stp>
        <stp>TUPLENUM:140</stp>
        <tr r="AC142" s="3"/>
      </tp>
      <tp t="e">
        <v>#N/A</v>
        <stp/>
        <stp>STREAM:AppOut</stp>
        <stp>FIELD:CumQty</stp>
        <stp>TUPLENUM:88</stp>
        <tr r="AB90" s="3"/>
      </tp>
      <tp t="e">
        <v>#N/A</v>
        <stp/>
        <stp>STREAM:AppOut</stp>
        <stp>FIELD:CumQty</stp>
        <stp>TUPLENUM:89</stp>
        <tr r="AB91" s="3"/>
      </tp>
      <tp t="e">
        <v>#N/A</v>
        <stp/>
        <stp>STREAM:AppOut</stp>
        <stp>FIELD:CumQty</stp>
        <stp>TUPLENUM:80</stp>
        <tr r="AB82" s="3"/>
      </tp>
      <tp t="e">
        <v>#N/A</v>
        <stp/>
        <stp>STREAM:AppOut</stp>
        <stp>FIELD:CumQty</stp>
        <stp>TUPLENUM:81</stp>
        <tr r="AB83" s="3"/>
      </tp>
      <tp t="e">
        <v>#N/A</v>
        <stp/>
        <stp>STREAM:AppOut</stp>
        <stp>FIELD:CumQty</stp>
        <stp>TUPLENUM:82</stp>
        <tr r="AB84" s="3"/>
      </tp>
      <tp t="e">
        <v>#N/A</v>
        <stp/>
        <stp>STREAM:AppOut</stp>
        <stp>FIELD:CumQty</stp>
        <stp>TUPLENUM:83</stp>
        <tr r="AB85" s="3"/>
      </tp>
      <tp t="e">
        <v>#N/A</v>
        <stp/>
        <stp>STREAM:AppOut</stp>
        <stp>FIELD:CumQty</stp>
        <stp>TUPLENUM:84</stp>
        <tr r="AB86" s="3"/>
      </tp>
      <tp t="e">
        <v>#N/A</v>
        <stp/>
        <stp>STREAM:AppOut</stp>
        <stp>FIELD:CumQty</stp>
        <stp>TUPLENUM:85</stp>
        <tr r="AB87" s="3"/>
      </tp>
      <tp t="e">
        <v>#N/A</v>
        <stp/>
        <stp>STREAM:AppOut</stp>
        <stp>FIELD:CumQty</stp>
        <stp>TUPLENUM:86</stp>
        <tr r="AB88" s="3"/>
      </tp>
      <tp t="e">
        <v>#N/A</v>
        <stp/>
        <stp>STREAM:AppOut</stp>
        <stp>FIELD:CumQty</stp>
        <stp>TUPLENUM:87</stp>
        <tr r="AB89" s="3"/>
      </tp>
      <tp t="e">
        <v>#N/A</v>
        <stp/>
        <stp>STREAM:AppOut</stp>
        <stp>FIELD:CumQty</stp>
        <stp>TUPLENUM:98</stp>
        <tr r="AB100" s="3"/>
      </tp>
      <tp t="e">
        <v>#N/A</v>
        <stp/>
        <stp>STREAM:AppOut</stp>
        <stp>FIELD:CumQty</stp>
        <stp>TUPLENUM:99</stp>
        <tr r="AB101" s="3"/>
      </tp>
      <tp t="e">
        <v>#N/A</v>
        <stp/>
        <stp>STREAM:AppOut</stp>
        <stp>FIELD:CumQty</stp>
        <stp>TUPLENUM:90</stp>
        <tr r="AB92" s="3"/>
      </tp>
      <tp t="e">
        <v>#N/A</v>
        <stp/>
        <stp>STREAM:AppOut</stp>
        <stp>FIELD:CumQty</stp>
        <stp>TUPLENUM:91</stp>
        <tr r="AB93" s="3"/>
      </tp>
      <tp t="e">
        <v>#N/A</v>
        <stp/>
        <stp>STREAM:AppOut</stp>
        <stp>FIELD:CumQty</stp>
        <stp>TUPLENUM:92</stp>
        <tr r="AB94" s="3"/>
      </tp>
      <tp t="e">
        <v>#N/A</v>
        <stp/>
        <stp>STREAM:AppOut</stp>
        <stp>FIELD:CumQty</stp>
        <stp>TUPLENUM:93</stp>
        <tr r="AB95" s="3"/>
      </tp>
      <tp t="e">
        <v>#N/A</v>
        <stp/>
        <stp>STREAM:AppOut</stp>
        <stp>FIELD:CumQty</stp>
        <stp>TUPLENUM:94</stp>
        <tr r="AB96" s="3"/>
      </tp>
      <tp t="e">
        <v>#N/A</v>
        <stp/>
        <stp>STREAM:AppOut</stp>
        <stp>FIELD:CumQty</stp>
        <stp>TUPLENUM:95</stp>
        <tr r="AB97" s="3"/>
      </tp>
      <tp t="e">
        <v>#N/A</v>
        <stp/>
        <stp>STREAM:AppOut</stp>
        <stp>FIELD:CumQty</stp>
        <stp>TUPLENUM:96</stp>
        <tr r="AB98" s="3"/>
      </tp>
      <tp t="e">
        <v>#N/A</v>
        <stp/>
        <stp>STREAM:AppOut</stp>
        <stp>FIELD:CumQty</stp>
        <stp>TUPLENUM:97</stp>
        <tr r="AB99" s="3"/>
      </tp>
      <tp t="e">
        <v>#N/A</v>
        <stp/>
        <stp>STREAM:AppOut</stp>
        <stp>FIELD:CumQty</stp>
        <stp>TUPLENUM:28</stp>
        <tr r="AB30" s="3"/>
      </tp>
      <tp t="e">
        <v>#N/A</v>
        <stp/>
        <stp>STREAM:AppOut</stp>
        <stp>FIELD:CumQty</stp>
        <stp>TUPLENUM:29</stp>
        <tr r="AB31" s="3"/>
      </tp>
      <tp t="e">
        <v>#N/A</v>
        <stp/>
        <stp>STREAM:AppOut</stp>
        <stp>FIELD:CumQty</stp>
        <stp>TUPLENUM:20</stp>
        <tr r="AB22" s="3"/>
      </tp>
      <tp t="e">
        <v>#N/A</v>
        <stp/>
        <stp>STREAM:AppOut</stp>
        <stp>FIELD:CumQty</stp>
        <stp>TUPLENUM:21</stp>
        <tr r="AB23" s="3"/>
      </tp>
      <tp t="e">
        <v>#N/A</v>
        <stp/>
        <stp>STREAM:AppOut</stp>
        <stp>FIELD:CumQty</stp>
        <stp>TUPLENUM:22</stp>
        <tr r="AB24" s="3"/>
      </tp>
      <tp t="e">
        <v>#N/A</v>
        <stp/>
        <stp>STREAM:AppOut</stp>
        <stp>FIELD:CumQty</stp>
        <stp>TUPLENUM:23</stp>
        <tr r="AB25" s="3"/>
      </tp>
      <tp t="e">
        <v>#N/A</v>
        <stp/>
        <stp>STREAM:AppOut</stp>
        <stp>FIELD:CumQty</stp>
        <stp>TUPLENUM:24</stp>
        <tr r="AB26" s="3"/>
      </tp>
      <tp t="e">
        <v>#N/A</v>
        <stp/>
        <stp>STREAM:AppOut</stp>
        <stp>FIELD:CumQty</stp>
        <stp>TUPLENUM:25</stp>
        <tr r="AB27" s="3"/>
      </tp>
      <tp t="e">
        <v>#N/A</v>
        <stp/>
        <stp>STREAM:AppOut</stp>
        <stp>FIELD:CumQty</stp>
        <stp>TUPLENUM:26</stp>
        <tr r="AB28" s="3"/>
      </tp>
      <tp t="e">
        <v>#N/A</v>
        <stp/>
        <stp>STREAM:AppOut</stp>
        <stp>FIELD:CumQty</stp>
        <stp>TUPLENUM:27</stp>
        <tr r="AB29" s="3"/>
      </tp>
      <tp t="e">
        <v>#N/A</v>
        <stp/>
        <stp>STREAM:AppOut</stp>
        <stp>FIELD:CumQty</stp>
        <stp>TUPLENUM:38</stp>
        <tr r="AB40" s="3"/>
      </tp>
      <tp t="e">
        <v>#N/A</v>
        <stp/>
        <stp>STREAM:AppOut</stp>
        <stp>FIELD:CumQty</stp>
        <stp>TUPLENUM:39</stp>
        <tr r="AB41" s="3"/>
      </tp>
      <tp t="e">
        <v>#N/A</v>
        <stp/>
        <stp>STREAM:AppOut</stp>
        <stp>FIELD:CumQty</stp>
        <stp>TUPLENUM:30</stp>
        <tr r="AB32" s="3"/>
      </tp>
      <tp t="e">
        <v>#N/A</v>
        <stp/>
        <stp>STREAM:AppOut</stp>
        <stp>FIELD:CumQty</stp>
        <stp>TUPLENUM:31</stp>
        <tr r="AB33" s="3"/>
      </tp>
      <tp t="e">
        <v>#N/A</v>
        <stp/>
        <stp>STREAM:AppOut</stp>
        <stp>FIELD:CumQty</stp>
        <stp>TUPLENUM:32</stp>
        <tr r="AB34" s="3"/>
      </tp>
      <tp t="e">
        <v>#N/A</v>
        <stp/>
        <stp>STREAM:AppOut</stp>
        <stp>FIELD:CumQty</stp>
        <stp>TUPLENUM:33</stp>
        <tr r="AB35" s="3"/>
      </tp>
      <tp t="e">
        <v>#N/A</v>
        <stp/>
        <stp>STREAM:AppOut</stp>
        <stp>FIELD:CumQty</stp>
        <stp>TUPLENUM:34</stp>
        <tr r="AB36" s="3"/>
      </tp>
      <tp t="e">
        <v>#N/A</v>
        <stp/>
        <stp>STREAM:AppOut</stp>
        <stp>FIELD:CumQty</stp>
        <stp>TUPLENUM:35</stp>
        <tr r="AB37" s="3"/>
      </tp>
      <tp t="e">
        <v>#N/A</v>
        <stp/>
        <stp>STREAM:AppOut</stp>
        <stp>FIELD:CumQty</stp>
        <stp>TUPLENUM:36</stp>
        <tr r="AB38" s="3"/>
      </tp>
      <tp t="e">
        <v>#N/A</v>
        <stp/>
        <stp>STREAM:AppOut</stp>
        <stp>FIELD:CumQty</stp>
        <stp>TUPLENUM:37</stp>
        <tr r="AB39" s="3"/>
      </tp>
      <tp t="e">
        <v>#N/A</v>
        <stp/>
        <stp>STREAM:AppOut</stp>
        <stp>FIELD:CumQty</stp>
        <stp>TUPLENUM:18</stp>
        <tr r="AB20" s="3"/>
      </tp>
      <tp t="e">
        <v>#N/A</v>
        <stp/>
        <stp>STREAM:AppOut</stp>
        <stp>FIELD:CumQty</stp>
        <stp>TUPLENUM:19</stp>
        <tr r="AB21" s="3"/>
      </tp>
      <tp t="e">
        <v>#N/A</v>
        <stp/>
        <stp>STREAM:AppOut</stp>
        <stp>FIELD:CumQty</stp>
        <stp>TUPLENUM:10</stp>
        <tr r="AB12" s="3"/>
      </tp>
      <tp t="e">
        <v>#N/A</v>
        <stp/>
        <stp>STREAM:AppOut</stp>
        <stp>FIELD:CumQty</stp>
        <stp>TUPLENUM:11</stp>
        <tr r="AB13" s="3"/>
      </tp>
      <tp t="e">
        <v>#N/A</v>
        <stp/>
        <stp>STREAM:AppOut</stp>
        <stp>FIELD:CumQty</stp>
        <stp>TUPLENUM:12</stp>
        <tr r="AB14" s="3"/>
      </tp>
      <tp t="e">
        <v>#N/A</v>
        <stp/>
        <stp>STREAM:AppOut</stp>
        <stp>FIELD:CumQty</stp>
        <stp>TUPLENUM:13</stp>
        <tr r="AB15" s="3"/>
      </tp>
      <tp t="e">
        <v>#N/A</v>
        <stp/>
        <stp>STREAM:AppOut</stp>
        <stp>FIELD:CumQty</stp>
        <stp>TUPLENUM:14</stp>
        <tr r="AB16" s="3"/>
      </tp>
      <tp t="e">
        <v>#N/A</v>
        <stp/>
        <stp>STREAM:AppOut</stp>
        <stp>FIELD:CumQty</stp>
        <stp>TUPLENUM:15</stp>
        <tr r="AB17" s="3"/>
      </tp>
      <tp t="e">
        <v>#N/A</v>
        <stp/>
        <stp>STREAM:AppOut</stp>
        <stp>FIELD:CumQty</stp>
        <stp>TUPLENUM:16</stp>
        <tr r="AB18" s="3"/>
      </tp>
      <tp t="e">
        <v>#N/A</v>
        <stp/>
        <stp>STREAM:AppOut</stp>
        <stp>FIELD:CumQty</stp>
        <stp>TUPLENUM:17</stp>
        <tr r="AB19" s="3"/>
      </tp>
      <tp t="e">
        <v>#N/A</v>
        <stp/>
        <stp>STREAM:AppOut</stp>
        <stp>FIELD:CumQty</stp>
        <stp>TUPLENUM:68</stp>
        <tr r="AB70" s="3"/>
      </tp>
      <tp t="e">
        <v>#N/A</v>
        <stp/>
        <stp>STREAM:AppOut</stp>
        <stp>FIELD:CumQty</stp>
        <stp>TUPLENUM:69</stp>
        <tr r="AB71" s="3"/>
      </tp>
      <tp t="e">
        <v>#N/A</v>
        <stp/>
        <stp>STREAM:AppOut</stp>
        <stp>FIELD:CumQty</stp>
        <stp>TUPLENUM:60</stp>
        <tr r="AB62" s="3"/>
      </tp>
      <tp t="e">
        <v>#N/A</v>
        <stp/>
        <stp>STREAM:AppOut</stp>
        <stp>FIELD:CumQty</stp>
        <stp>TUPLENUM:61</stp>
        <tr r="AB63" s="3"/>
      </tp>
      <tp t="e">
        <v>#N/A</v>
        <stp/>
        <stp>STREAM:AppOut</stp>
        <stp>FIELD:CumQty</stp>
        <stp>TUPLENUM:62</stp>
        <tr r="AB64" s="3"/>
      </tp>
      <tp t="e">
        <v>#N/A</v>
        <stp/>
        <stp>STREAM:AppOut</stp>
        <stp>FIELD:CumQty</stp>
        <stp>TUPLENUM:63</stp>
        <tr r="AB65" s="3"/>
      </tp>
      <tp t="e">
        <v>#N/A</v>
        <stp/>
        <stp>STREAM:AppOut</stp>
        <stp>FIELD:CumQty</stp>
        <stp>TUPLENUM:64</stp>
        <tr r="AB66" s="3"/>
      </tp>
      <tp t="e">
        <v>#N/A</v>
        <stp/>
        <stp>STREAM:AppOut</stp>
        <stp>FIELD:CumQty</stp>
        <stp>TUPLENUM:65</stp>
        <tr r="AB67" s="3"/>
      </tp>
      <tp t="e">
        <v>#N/A</v>
        <stp/>
        <stp>STREAM:AppOut</stp>
        <stp>FIELD:CumQty</stp>
        <stp>TUPLENUM:66</stp>
        <tr r="AB68" s="3"/>
      </tp>
      <tp t="e">
        <v>#N/A</v>
        <stp/>
        <stp>STREAM:AppOut</stp>
        <stp>FIELD:CumQty</stp>
        <stp>TUPLENUM:67</stp>
        <tr r="AB69" s="3"/>
      </tp>
      <tp t="e">
        <v>#N/A</v>
        <stp/>
        <stp>STREAM:AppOut</stp>
        <stp>FIELD:CumQty</stp>
        <stp>TUPLENUM:78</stp>
        <tr r="AB80" s="3"/>
      </tp>
      <tp t="e">
        <v>#N/A</v>
        <stp/>
        <stp>STREAM:AppOut</stp>
        <stp>FIELD:CumQty</stp>
        <stp>TUPLENUM:79</stp>
        <tr r="AB81" s="3"/>
      </tp>
      <tp t="e">
        <v>#N/A</v>
        <stp/>
        <stp>STREAM:AppOut</stp>
        <stp>FIELD:CumQty</stp>
        <stp>TUPLENUM:70</stp>
        <tr r="AB72" s="3"/>
      </tp>
      <tp t="e">
        <v>#N/A</v>
        <stp/>
        <stp>STREAM:AppOut</stp>
        <stp>FIELD:CumQty</stp>
        <stp>TUPLENUM:71</stp>
        <tr r="AB73" s="3"/>
      </tp>
      <tp t="e">
        <v>#N/A</v>
        <stp/>
        <stp>STREAM:AppOut</stp>
        <stp>FIELD:CumQty</stp>
        <stp>TUPLENUM:72</stp>
        <tr r="AB74" s="3"/>
      </tp>
      <tp t="e">
        <v>#N/A</v>
        <stp/>
        <stp>STREAM:AppOut</stp>
        <stp>FIELD:CumQty</stp>
        <stp>TUPLENUM:73</stp>
        <tr r="AB75" s="3"/>
      </tp>
      <tp t="e">
        <v>#N/A</v>
        <stp/>
        <stp>STREAM:AppOut</stp>
        <stp>FIELD:CumQty</stp>
        <stp>TUPLENUM:74</stp>
        <tr r="AB76" s="3"/>
      </tp>
      <tp t="e">
        <v>#N/A</v>
        <stp/>
        <stp>STREAM:AppOut</stp>
        <stp>FIELD:CumQty</stp>
        <stp>TUPLENUM:75</stp>
        <tr r="AB77" s="3"/>
      </tp>
      <tp t="e">
        <v>#N/A</v>
        <stp/>
        <stp>STREAM:AppOut</stp>
        <stp>FIELD:CumQty</stp>
        <stp>TUPLENUM:76</stp>
        <tr r="AB78" s="3"/>
      </tp>
      <tp t="e">
        <v>#N/A</v>
        <stp/>
        <stp>STREAM:AppOut</stp>
        <stp>FIELD:CumQty</stp>
        <stp>TUPLENUM:77</stp>
        <tr r="AB79" s="3"/>
      </tp>
      <tp t="e">
        <v>#N/A</v>
        <stp/>
        <stp>STREAM:AppOut</stp>
        <stp>FIELD:CumQty</stp>
        <stp>TUPLENUM:48</stp>
        <tr r="AB50" s="3"/>
      </tp>
      <tp t="e">
        <v>#N/A</v>
        <stp/>
        <stp>STREAM:AppOut</stp>
        <stp>FIELD:CumQty</stp>
        <stp>TUPLENUM:49</stp>
        <tr r="AB51" s="3"/>
      </tp>
      <tp t="e">
        <v>#N/A</v>
        <stp/>
        <stp>STREAM:AppOut</stp>
        <stp>FIELD:CumQty</stp>
        <stp>TUPLENUM:40</stp>
        <tr r="AB42" s="3"/>
      </tp>
      <tp t="e">
        <v>#N/A</v>
        <stp/>
        <stp>STREAM:AppOut</stp>
        <stp>FIELD:CumQty</stp>
        <stp>TUPLENUM:41</stp>
        <tr r="AB43" s="3"/>
      </tp>
      <tp t="e">
        <v>#N/A</v>
        <stp/>
        <stp>STREAM:AppOut</stp>
        <stp>FIELD:CumQty</stp>
        <stp>TUPLENUM:42</stp>
        <tr r="AB44" s="3"/>
      </tp>
      <tp t="e">
        <v>#N/A</v>
        <stp/>
        <stp>STREAM:AppOut</stp>
        <stp>FIELD:CumQty</stp>
        <stp>TUPLENUM:43</stp>
        <tr r="AB45" s="3"/>
      </tp>
      <tp t="e">
        <v>#N/A</v>
        <stp/>
        <stp>STREAM:AppOut</stp>
        <stp>FIELD:CumQty</stp>
        <stp>TUPLENUM:44</stp>
        <tr r="AB46" s="3"/>
      </tp>
      <tp t="e">
        <v>#N/A</v>
        <stp/>
        <stp>STREAM:AppOut</stp>
        <stp>FIELD:CumQty</stp>
        <stp>TUPLENUM:45</stp>
        <tr r="AB47" s="3"/>
      </tp>
      <tp t="e">
        <v>#N/A</v>
        <stp/>
        <stp>STREAM:AppOut</stp>
        <stp>FIELD:CumQty</stp>
        <stp>TUPLENUM:46</stp>
        <tr r="AB48" s="3"/>
      </tp>
      <tp t="e">
        <v>#N/A</v>
        <stp/>
        <stp>STREAM:AppOut</stp>
        <stp>FIELD:CumQty</stp>
        <stp>TUPLENUM:47</stp>
        <tr r="AB49" s="3"/>
      </tp>
      <tp t="e">
        <v>#N/A</v>
        <stp/>
        <stp>STREAM:AppOut</stp>
        <stp>FIELD:CumQty</stp>
        <stp>TUPLENUM:58</stp>
        <tr r="AB60" s="3"/>
      </tp>
      <tp t="e">
        <v>#N/A</v>
        <stp/>
        <stp>STREAM:AppOut</stp>
        <stp>FIELD:CumQty</stp>
        <stp>TUPLENUM:59</stp>
        <tr r="AB61" s="3"/>
      </tp>
      <tp t="e">
        <v>#N/A</v>
        <stp/>
        <stp>STREAM:AppOut</stp>
        <stp>FIELD:CumQty</stp>
        <stp>TUPLENUM:50</stp>
        <tr r="AB52" s="3"/>
      </tp>
      <tp t="e">
        <v>#N/A</v>
        <stp/>
        <stp>STREAM:AppOut</stp>
        <stp>FIELD:CumQty</stp>
        <stp>TUPLENUM:51</stp>
        <tr r="AB53" s="3"/>
      </tp>
      <tp t="e">
        <v>#N/A</v>
        <stp/>
        <stp>STREAM:AppOut</stp>
        <stp>FIELD:CumQty</stp>
        <stp>TUPLENUM:52</stp>
        <tr r="AB54" s="3"/>
      </tp>
      <tp t="e">
        <v>#N/A</v>
        <stp/>
        <stp>STREAM:AppOut</stp>
        <stp>FIELD:CumQty</stp>
        <stp>TUPLENUM:53</stp>
        <tr r="AB55" s="3"/>
      </tp>
      <tp t="e">
        <v>#N/A</v>
        <stp/>
        <stp>STREAM:AppOut</stp>
        <stp>FIELD:CumQty</stp>
        <stp>TUPLENUM:54</stp>
        <tr r="AB56" s="3"/>
      </tp>
      <tp t="e">
        <v>#N/A</v>
        <stp/>
        <stp>STREAM:AppOut</stp>
        <stp>FIELD:CumQty</stp>
        <stp>TUPLENUM:55</stp>
        <tr r="AB57" s="3"/>
      </tp>
      <tp t="e">
        <v>#N/A</v>
        <stp/>
        <stp>STREAM:AppOut</stp>
        <stp>FIELD:CumQty</stp>
        <stp>TUPLENUM:56</stp>
        <tr r="AB58" s="3"/>
      </tp>
      <tp t="e">
        <v>#N/A</v>
        <stp/>
        <stp>STREAM:AppOut</stp>
        <stp>FIELD:CumQty</stp>
        <stp>TUPLENUM:57</stp>
        <tr r="AB59" s="3"/>
      </tp>
      <tp t="e">
        <v>#N/A</v>
        <stp/>
        <stp>STREAM:AppOut</stp>
        <stp>FIELD:AvgPx</stp>
        <stp>LOCALFILTER:AppOrdID=="18_11_231_008"</stp>
        <tr r="O9" s="3"/>
      </tp>
      <tp t="e">
        <v>#N/A</v>
        <stp/>
        <stp>STREAM:AppOut</stp>
        <stp>FIELD:AvgPx</stp>
        <stp>LOCALFILTER:AppOrdID=="18_11_231_009"</stp>
        <tr r="O10" s="3"/>
      </tp>
      <tp t="e">
        <v>#N/A</v>
        <stp/>
        <stp>STREAM:AppOut</stp>
        <stp>FIELD:AvgPx</stp>
        <stp>LOCALFILTER:AppOrdID=="18_11_231_001"</stp>
        <tr r="O2" s="3"/>
      </tp>
      <tp t="e">
        <v>#N/A</v>
        <stp/>
        <stp>STREAM:AppOut</stp>
        <stp>FIELD:AvgPx</stp>
        <stp>LOCALFILTER:AppOrdID=="18_11_231_002"</stp>
        <tr r="O3" s="3"/>
      </tp>
      <tp t="e">
        <v>#N/A</v>
        <stp/>
        <stp>STREAM:AppOut</stp>
        <stp>FIELD:AvgPx</stp>
        <stp>LOCALFILTER:AppOrdID=="18_11_231_003"</stp>
        <tr r="O4" s="3"/>
      </tp>
      <tp t="e">
        <v>#N/A</v>
        <stp/>
        <stp>STREAM:AppOut</stp>
        <stp>FIELD:AvgPx</stp>
        <stp>LOCALFILTER:AppOrdID=="18_11_231_004"</stp>
        <tr r="O5" s="3"/>
      </tp>
      <tp t="e">
        <v>#N/A</v>
        <stp/>
        <stp>STREAM:AppOut</stp>
        <stp>FIELD:AvgPx</stp>
        <stp>LOCALFILTER:AppOrdID=="18_11_231_005"</stp>
        <tr r="O6" s="3"/>
      </tp>
      <tp t="e">
        <v>#N/A</v>
        <stp/>
        <stp>STREAM:AppOut</stp>
        <stp>FIELD:AvgPx</stp>
        <stp>LOCALFILTER:AppOrdID=="18_11_231_006"</stp>
        <tr r="O7" s="3"/>
      </tp>
      <tp t="e">
        <v>#N/A</v>
        <stp/>
        <stp>STREAM:AppOut</stp>
        <stp>FIELD:AvgPx</stp>
        <stp>LOCALFILTER:AppOrdID=="18_11_231_007"</stp>
        <tr r="O8" s="3"/>
      </tp>
      <tp t="e">
        <v>#N/A</v>
        <stp/>
        <stp>STREAM:AppOut</stp>
        <stp>FIELD:TradeDate</stp>
        <stp>TUPLENUM:8</stp>
        <tr r="AI10" s="3"/>
      </tp>
      <tp t="e">
        <v>#N/A</v>
        <stp/>
        <stp>STREAM:AppOut</stp>
        <stp>FIELD:TradeDate</stp>
        <stp>TUPLENUM:9</stp>
        <tr r="AI11" s="3"/>
      </tp>
      <tp t="e">
        <v>#N/A</v>
        <stp/>
        <stp>STREAM:AppOut</stp>
        <stp>FIELD:TradeDate</stp>
        <stp>TUPLENUM:4</stp>
        <tr r="AI6" s="3"/>
      </tp>
      <tp t="e">
        <v>#N/A</v>
        <stp/>
        <stp>STREAM:AppOut</stp>
        <stp>FIELD:TradeDate</stp>
        <stp>TUPLENUM:5</stp>
        <tr r="AI7" s="3"/>
      </tp>
      <tp t="e">
        <v>#N/A</v>
        <stp/>
        <stp>STREAM:AppOut</stp>
        <stp>FIELD:TradeDate</stp>
        <stp>TUPLENUM:6</stp>
        <tr r="AI8" s="3"/>
      </tp>
      <tp t="e">
        <v>#N/A</v>
        <stp/>
        <stp>STREAM:AppOut</stp>
        <stp>FIELD:TradeDate</stp>
        <stp>TUPLENUM:7</stp>
        <tr r="AI9" s="3"/>
      </tp>
      <tp t="e">
        <v>#N/A</v>
        <stp/>
        <stp>STREAM:AppOut</stp>
        <stp>FIELD:TradeDate</stp>
        <stp>TUPLENUM:1</stp>
        <tr r="AI3" s="3"/>
      </tp>
      <tp t="e">
        <v>#N/A</v>
        <stp/>
        <stp>STREAM:AppOut</stp>
        <stp>FIELD:TradeDate</stp>
        <stp>TUPLENUM:2</stp>
        <tr r="AI4" s="3"/>
      </tp>
      <tp t="e">
        <v>#N/A</v>
        <stp/>
        <stp>STREAM:AppOut</stp>
        <stp>FIELD:TradeDate</stp>
        <stp>TUPLENUM:3</stp>
        <tr r="AI5" s="3"/>
      </tp>
      <tp t="e">
        <v>#N/A</v>
        <stp/>
        <stp>STREAM:AppOut</stp>
        <stp>FIELD:ReplacedbyReqID</stp>
        <stp>TUPLENUM:5</stp>
        <tr r="AF7" s="3"/>
      </tp>
      <tp t="e">
        <v>#N/A</v>
        <stp/>
        <stp>STREAM:AppOut</stp>
        <stp>FIELD:ReplacedbyReqID</stp>
        <stp>TUPLENUM:4</stp>
        <tr r="AF6" s="3"/>
      </tp>
      <tp t="e">
        <v>#N/A</v>
        <stp/>
        <stp>STREAM:AppOut</stp>
        <stp>FIELD:ReplacedbyReqID</stp>
        <stp>TUPLENUM:7</stp>
        <tr r="AF9" s="3"/>
      </tp>
      <tp t="e">
        <v>#N/A</v>
        <stp/>
        <stp>STREAM:AppOut</stp>
        <stp>FIELD:ReplacedbyReqID</stp>
        <stp>TUPLENUM:6</stp>
        <tr r="AF8" s="3"/>
      </tp>
      <tp t="e">
        <v>#N/A</v>
        <stp/>
        <stp>STREAM:AppOut</stp>
        <stp>FIELD:ReplacedbyReqID</stp>
        <stp>TUPLENUM:1</stp>
        <tr r="AF3" s="3"/>
      </tp>
      <tp t="e">
        <v>#N/A</v>
        <stp/>
        <stp>STREAM:AppOut</stp>
        <stp>FIELD:ReplacedbyReqID</stp>
        <stp>TUPLENUM:3</stp>
        <tr r="AF5" s="3"/>
      </tp>
      <tp t="e">
        <v>#N/A</v>
        <stp/>
        <stp>STREAM:AppOut</stp>
        <stp>FIELD:ReplacedbyReqID</stp>
        <stp>TUPLENUM:2</stp>
        <tr r="AF4" s="3"/>
      </tp>
      <tp t="e">
        <v>#N/A</v>
        <stp/>
        <stp>STREAM:AppOut</stp>
        <stp>FIELD:ReplacedbyReqID</stp>
        <stp>TUPLENUM:9</stp>
        <tr r="AF11" s="3"/>
      </tp>
      <tp t="e">
        <v>#N/A</v>
        <stp/>
        <stp>STREAM:AppOut</stp>
        <stp>FIELD:ReplacedbyReqID</stp>
        <stp>TUPLENUM:8</stp>
        <tr r="AF10" s="3"/>
      </tp>
      <tp t="e">
        <v>#N/A</v>
        <stp/>
        <stp>STREAM:AppOut</stp>
        <stp>FIELD:Account</stp>
        <stp>TUPLENUM:6</stp>
        <tr r="AH8" s="3"/>
      </tp>
      <tp t="e">
        <v>#N/A</v>
        <stp/>
        <stp>STREAM:AppOut</stp>
        <stp>FIELD:Account</stp>
        <stp>TUPLENUM:7</stp>
        <tr r="AH9" s="3"/>
      </tp>
      <tp t="e">
        <v>#N/A</v>
        <stp/>
        <stp>STREAM:AppOut</stp>
        <stp>FIELD:Account</stp>
        <stp>TUPLENUM:4</stp>
        <tr r="AH6" s="3"/>
      </tp>
      <tp t="e">
        <v>#N/A</v>
        <stp/>
        <stp>STREAM:AppOut</stp>
        <stp>FIELD:Account</stp>
        <stp>TUPLENUM:5</stp>
        <tr r="AH7" s="3"/>
      </tp>
      <tp t="e">
        <v>#N/A</v>
        <stp/>
        <stp>STREAM:AppOut</stp>
        <stp>FIELD:Account</stp>
        <stp>TUPLENUM:2</stp>
        <tr r="AH4" s="3"/>
      </tp>
      <tp t="e">
        <v>#N/A</v>
        <stp/>
        <stp>STREAM:AppOut</stp>
        <stp>FIELD:Account</stp>
        <stp>TUPLENUM:3</stp>
        <tr r="AH5" s="3"/>
      </tp>
      <tp t="e">
        <v>#N/A</v>
        <stp/>
        <stp>STREAM:AppOut</stp>
        <stp>FIELD:Account</stp>
        <stp>TUPLENUM:1</stp>
        <tr r="AH3" s="3"/>
      </tp>
      <tp t="e">
        <v>#N/A</v>
        <stp/>
        <stp>STREAM:AppOut</stp>
        <stp>FIELD:Account</stp>
        <stp>TUPLENUM:8</stp>
        <tr r="AH10" s="3"/>
      </tp>
      <tp t="e">
        <v>#N/A</v>
        <stp/>
        <stp>STREAM:AppOut</stp>
        <stp>FIELD:Account</stp>
        <stp>TUPLENUM:9</stp>
        <tr r="AH11" s="3"/>
      </tp>
      <tp t="e">
        <v>#N/A</v>
        <stp/>
        <stp>STREAM:AppOut</stp>
        <stp>FIELD:Account</stp>
        <stp>TUPLENUM:115</stp>
        <tr r="AH117" s="3"/>
      </tp>
      <tp t="e">
        <v>#N/A</v>
        <stp/>
        <stp>STREAM:AppOut</stp>
        <stp>FIELD:Account</stp>
        <stp>TUPLENUM:114</stp>
        <tr r="AH116" s="3"/>
      </tp>
      <tp t="e">
        <v>#N/A</v>
        <stp/>
        <stp>STREAM:AppOut</stp>
        <stp>FIELD:Account</stp>
        <stp>TUPLENUM:117</stp>
        <tr r="AH119" s="3"/>
      </tp>
      <tp t="e">
        <v>#N/A</v>
        <stp/>
        <stp>STREAM:AppOut</stp>
        <stp>FIELD:Account</stp>
        <stp>TUPLENUM:116</stp>
        <tr r="AH118" s="3"/>
      </tp>
      <tp t="e">
        <v>#N/A</v>
        <stp/>
        <stp>STREAM:AppOut</stp>
        <stp>FIELD:Account</stp>
        <stp>TUPLENUM:111</stp>
        <tr r="AH113" s="3"/>
      </tp>
      <tp t="e">
        <v>#N/A</v>
        <stp/>
        <stp>STREAM:AppOut</stp>
        <stp>FIELD:Account</stp>
        <stp>TUPLENUM:110</stp>
        <tr r="AH112" s="3"/>
      </tp>
      <tp t="e">
        <v>#N/A</v>
        <stp/>
        <stp>STREAM:AppOut</stp>
        <stp>FIELD:Account</stp>
        <stp>TUPLENUM:113</stp>
        <tr r="AH115" s="3"/>
      </tp>
      <tp t="e">
        <v>#N/A</v>
        <stp/>
        <stp>STREAM:AppOut</stp>
        <stp>FIELD:Account</stp>
        <stp>TUPLENUM:112</stp>
        <tr r="AH114" s="3"/>
      </tp>
      <tp t="e">
        <v>#N/A</v>
        <stp/>
        <stp>STREAM:AppOut</stp>
        <stp>FIELD:Account</stp>
        <stp>TUPLENUM:119</stp>
        <tr r="AH121" s="3"/>
      </tp>
      <tp t="e">
        <v>#N/A</v>
        <stp/>
        <stp>STREAM:AppOut</stp>
        <stp>FIELD:Account</stp>
        <stp>TUPLENUM:118</stp>
        <tr r="AH120" s="3"/>
      </tp>
      <tp t="e">
        <v>#N/A</v>
        <stp/>
        <stp>STREAM:AppOut</stp>
        <stp>FIELD:Account</stp>
        <stp>TUPLENUM:105</stp>
        <tr r="AH107" s="3"/>
      </tp>
      <tp t="e">
        <v>#N/A</v>
        <stp/>
        <stp>STREAM:AppOut</stp>
        <stp>FIELD:Account</stp>
        <stp>TUPLENUM:104</stp>
        <tr r="AH106" s="3"/>
      </tp>
      <tp t="e">
        <v>#N/A</v>
        <stp/>
        <stp>STREAM:AppOut</stp>
        <stp>FIELD:Account</stp>
        <stp>TUPLENUM:107</stp>
        <tr r="AH109" s="3"/>
      </tp>
      <tp t="e">
        <v>#N/A</v>
        <stp/>
        <stp>STREAM:AppOut</stp>
        <stp>FIELD:Account</stp>
        <stp>TUPLENUM:106</stp>
        <tr r="AH108" s="3"/>
      </tp>
      <tp t="e">
        <v>#N/A</v>
        <stp/>
        <stp>STREAM:AppOut</stp>
        <stp>FIELD:Account</stp>
        <stp>TUPLENUM:101</stp>
        <tr r="AH103" s="3"/>
      </tp>
      <tp t="e">
        <v>#N/A</v>
        <stp/>
        <stp>STREAM:AppOut</stp>
        <stp>FIELD:Account</stp>
        <stp>TUPLENUM:100</stp>
        <tr r="AH102" s="3"/>
      </tp>
      <tp t="e">
        <v>#N/A</v>
        <stp/>
        <stp>STREAM:AppOut</stp>
        <stp>FIELD:Account</stp>
        <stp>TUPLENUM:103</stp>
        <tr r="AH105" s="3"/>
      </tp>
      <tp t="e">
        <v>#N/A</v>
        <stp/>
        <stp>STREAM:AppOut</stp>
        <stp>FIELD:Account</stp>
        <stp>TUPLENUM:102</stp>
        <tr r="AH104" s="3"/>
      </tp>
      <tp t="e">
        <v>#N/A</v>
        <stp/>
        <stp>STREAM:AppOut</stp>
        <stp>FIELD:Account</stp>
        <stp>TUPLENUM:109</stp>
        <tr r="AH111" s="3"/>
      </tp>
      <tp t="e">
        <v>#N/A</v>
        <stp/>
        <stp>STREAM:AppOut</stp>
        <stp>FIELD:Account</stp>
        <stp>TUPLENUM:108</stp>
        <tr r="AH110" s="3"/>
      </tp>
      <tp t="e">
        <v>#N/A</v>
        <stp/>
        <stp>STREAM:AppOut</stp>
        <stp>FIELD:Account</stp>
        <stp>TUPLENUM:135</stp>
        <tr r="AH137" s="3"/>
      </tp>
      <tp t="e">
        <v>#N/A</v>
        <stp/>
        <stp>STREAM:AppOut</stp>
        <stp>FIELD:Account</stp>
        <stp>TUPLENUM:134</stp>
        <tr r="AH136" s="3"/>
      </tp>
      <tp t="e">
        <v>#N/A</v>
        <stp/>
        <stp>STREAM:AppOut</stp>
        <stp>FIELD:Account</stp>
        <stp>TUPLENUM:137</stp>
        <tr r="AH139" s="3"/>
      </tp>
      <tp t="e">
        <v>#N/A</v>
        <stp/>
        <stp>STREAM:AppOut</stp>
        <stp>FIELD:Account</stp>
        <stp>TUPLENUM:136</stp>
        <tr r="AH138" s="3"/>
      </tp>
      <tp t="e">
        <v>#N/A</v>
        <stp/>
        <stp>STREAM:AppOut</stp>
        <stp>FIELD:Account</stp>
        <stp>TUPLENUM:131</stp>
        <tr r="AH133" s="3"/>
      </tp>
      <tp t="e">
        <v>#N/A</v>
        <stp/>
        <stp>STREAM:AppOut</stp>
        <stp>FIELD:Account</stp>
        <stp>TUPLENUM:130</stp>
        <tr r="AH132" s="3"/>
      </tp>
      <tp t="e">
        <v>#N/A</v>
        <stp/>
        <stp>STREAM:AppOut</stp>
        <stp>FIELD:Account</stp>
        <stp>TUPLENUM:133</stp>
        <tr r="AH135" s="3"/>
      </tp>
      <tp t="e">
        <v>#N/A</v>
        <stp/>
        <stp>STREAM:AppOut</stp>
        <stp>FIELD:Account</stp>
        <stp>TUPLENUM:132</stp>
        <tr r="AH134" s="3"/>
      </tp>
      <tp t="e">
        <v>#N/A</v>
        <stp/>
        <stp>STREAM:AppOut</stp>
        <stp>FIELD:Account</stp>
        <stp>TUPLENUM:139</stp>
        <tr r="AH141" s="3"/>
      </tp>
      <tp t="e">
        <v>#N/A</v>
        <stp/>
        <stp>STREAM:AppOut</stp>
        <stp>FIELD:Account</stp>
        <stp>TUPLENUM:138</stp>
        <tr r="AH140" s="3"/>
      </tp>
      <tp t="e">
        <v>#N/A</v>
        <stp/>
        <stp>STREAM:AppOut</stp>
        <stp>FIELD:Account</stp>
        <stp>TUPLENUM:125</stp>
        <tr r="AH127" s="3"/>
      </tp>
      <tp t="e">
        <v>#N/A</v>
        <stp/>
        <stp>STREAM:AppOut</stp>
        <stp>FIELD:Account</stp>
        <stp>TUPLENUM:124</stp>
        <tr r="AH126" s="3"/>
      </tp>
      <tp t="e">
        <v>#N/A</v>
        <stp/>
        <stp>STREAM:AppOut</stp>
        <stp>FIELD:Account</stp>
        <stp>TUPLENUM:127</stp>
        <tr r="AH129" s="3"/>
      </tp>
      <tp t="e">
        <v>#N/A</v>
        <stp/>
        <stp>STREAM:AppOut</stp>
        <stp>FIELD:Account</stp>
        <stp>TUPLENUM:126</stp>
        <tr r="AH128" s="3"/>
      </tp>
      <tp t="e">
        <v>#N/A</v>
        <stp/>
        <stp>STREAM:AppOut</stp>
        <stp>FIELD:Account</stp>
        <stp>TUPLENUM:121</stp>
        <tr r="AH123" s="3"/>
      </tp>
      <tp t="e">
        <v>#N/A</v>
        <stp/>
        <stp>STREAM:AppOut</stp>
        <stp>FIELD:Account</stp>
        <stp>TUPLENUM:120</stp>
        <tr r="AH122" s="3"/>
      </tp>
      <tp t="e">
        <v>#N/A</v>
        <stp/>
        <stp>STREAM:AppOut</stp>
        <stp>FIELD:Account</stp>
        <stp>TUPLENUM:123</stp>
        <tr r="AH125" s="3"/>
      </tp>
      <tp t="e">
        <v>#N/A</v>
        <stp/>
        <stp>STREAM:AppOut</stp>
        <stp>FIELD:Account</stp>
        <stp>TUPLENUM:122</stp>
        <tr r="AH124" s="3"/>
      </tp>
      <tp t="e">
        <v>#N/A</v>
        <stp/>
        <stp>STREAM:AppOut</stp>
        <stp>FIELD:Account</stp>
        <stp>TUPLENUM:129</stp>
        <tr r="AH131" s="3"/>
      </tp>
      <tp t="e">
        <v>#N/A</v>
        <stp/>
        <stp>STREAM:AppOut</stp>
        <stp>FIELD:Account</stp>
        <stp>TUPLENUM:128</stp>
        <tr r="AH130" s="3"/>
      </tp>
      <tp t="e">
        <v>#N/A</v>
        <stp/>
        <stp>STREAM:AppOut</stp>
        <stp>FIELD:Account</stp>
        <stp>TUPLENUM:140</stp>
        <tr r="AH142" s="3"/>
      </tp>
      <tp t="e">
        <v>#N/A</v>
        <stp/>
        <stp>STREAM:AppOut</stp>
        <stp>FIELD:UpdateTime</stp>
        <stp>TUPLENUM:1</stp>
        <tr r="AE3" s="3"/>
      </tp>
      <tp t="e">
        <v>#N/A</v>
        <stp/>
        <stp>STREAM:AppOut</stp>
        <stp>FIELD:UpdateTime</stp>
        <stp>TUPLENUM:3</stp>
        <tr r="AE5" s="3"/>
      </tp>
      <tp t="e">
        <v>#N/A</v>
        <stp/>
        <stp>STREAM:AppOut</stp>
        <stp>FIELD:UpdateTime</stp>
        <stp>TUPLENUM:2</stp>
        <tr r="AE4" s="3"/>
      </tp>
      <tp t="e">
        <v>#N/A</v>
        <stp/>
        <stp>STREAM:AppOut</stp>
        <stp>FIELD:UpdateTime</stp>
        <stp>TUPLENUM:5</stp>
        <tr r="AE7" s="3"/>
      </tp>
      <tp t="e">
        <v>#N/A</v>
        <stp/>
        <stp>STREAM:AppOut</stp>
        <stp>FIELD:UpdateTime</stp>
        <stp>TUPLENUM:4</stp>
        <tr r="AE6" s="3"/>
      </tp>
      <tp t="e">
        <v>#N/A</v>
        <stp/>
        <stp>STREAM:AppOut</stp>
        <stp>FIELD:UpdateTime</stp>
        <stp>TUPLENUM:7</stp>
        <tr r="AE9" s="3"/>
      </tp>
      <tp t="e">
        <v>#N/A</v>
        <stp/>
        <stp>STREAM:AppOut</stp>
        <stp>FIELD:UpdateTime</stp>
        <stp>TUPLENUM:6</stp>
        <tr r="AE8" s="3"/>
      </tp>
      <tp t="e">
        <v>#N/A</v>
        <stp/>
        <stp>STREAM:AppOut</stp>
        <stp>FIELD:UpdateTime</stp>
        <stp>TUPLENUM:9</stp>
        <tr r="AE11" s="3"/>
      </tp>
      <tp t="e">
        <v>#N/A</v>
        <stp/>
        <stp>STREAM:AppOut</stp>
        <stp>FIELD:UpdateTime</stp>
        <stp>TUPLENUM:8</stp>
        <tr r="AE10" s="3"/>
      </tp>
      <tp t="e">
        <v>#N/A</v>
        <stp/>
        <stp>STREAM:AppOut</stp>
        <stp>FIELD:UpdateTime</stp>
        <stp>TUPLENUM:106</stp>
        <tr r="AE108" s="3"/>
      </tp>
      <tp t="e">
        <v>#N/A</v>
        <stp/>
        <stp>STREAM:AppOut</stp>
        <stp>FIELD:UpdateTime</stp>
        <stp>TUPLENUM:107</stp>
        <tr r="AE109" s="3"/>
      </tp>
      <tp t="e">
        <v>#N/A</v>
        <stp/>
        <stp>STREAM:AppOut</stp>
        <stp>FIELD:UpdateTime</stp>
        <stp>TUPLENUM:104</stp>
        <tr r="AE106" s="3"/>
      </tp>
      <tp t="e">
        <v>#N/A</v>
        <stp/>
        <stp>STREAM:AppOut</stp>
        <stp>FIELD:UpdateTime</stp>
        <stp>TUPLENUM:105</stp>
        <tr r="AE107" s="3"/>
      </tp>
      <tp t="e">
        <v>#N/A</v>
        <stp/>
        <stp>STREAM:AppOut</stp>
        <stp>FIELD:UpdateTime</stp>
        <stp>TUPLENUM:102</stp>
        <tr r="AE104" s="3"/>
      </tp>
      <tp t="e">
        <v>#N/A</v>
        <stp/>
        <stp>STREAM:AppOut</stp>
        <stp>FIELD:UpdateTime</stp>
        <stp>TUPLENUM:103</stp>
        <tr r="AE105" s="3"/>
      </tp>
      <tp t="e">
        <v>#N/A</v>
        <stp/>
        <stp>STREAM:AppOut</stp>
        <stp>FIELD:UpdateTime</stp>
        <stp>TUPLENUM:100</stp>
        <tr r="AE102" s="3"/>
      </tp>
      <tp t="e">
        <v>#N/A</v>
        <stp/>
        <stp>STREAM:AppOut</stp>
        <stp>FIELD:UpdateTime</stp>
        <stp>TUPLENUM:101</stp>
        <tr r="AE103" s="3"/>
      </tp>
      <tp t="e">
        <v>#N/A</v>
        <stp/>
        <stp>STREAM:AppOut</stp>
        <stp>FIELD:UpdateTime</stp>
        <stp>TUPLENUM:108</stp>
        <tr r="AE110" s="3"/>
      </tp>
      <tp t="e">
        <v>#N/A</v>
        <stp/>
        <stp>STREAM:AppOut</stp>
        <stp>FIELD:UpdateTime</stp>
        <stp>TUPLENUM:109</stp>
        <tr r="AE111" s="3"/>
      </tp>
      <tp t="e">
        <v>#N/A</v>
        <stp/>
        <stp>STREAM:AppOut</stp>
        <stp>FIELD:UpdateTime</stp>
        <stp>TUPLENUM:116</stp>
        <tr r="AE118" s="3"/>
      </tp>
      <tp t="e">
        <v>#N/A</v>
        <stp/>
        <stp>STREAM:AppOut</stp>
        <stp>FIELD:UpdateTime</stp>
        <stp>TUPLENUM:117</stp>
        <tr r="AE119" s="3"/>
      </tp>
      <tp t="e">
        <v>#N/A</v>
        <stp/>
        <stp>STREAM:AppOut</stp>
        <stp>FIELD:UpdateTime</stp>
        <stp>TUPLENUM:114</stp>
        <tr r="AE116" s="3"/>
      </tp>
      <tp t="e">
        <v>#N/A</v>
        <stp/>
        <stp>STREAM:AppOut</stp>
        <stp>FIELD:UpdateTime</stp>
        <stp>TUPLENUM:115</stp>
        <tr r="AE117" s="3"/>
      </tp>
      <tp t="e">
        <v>#N/A</v>
        <stp/>
        <stp>STREAM:AppOut</stp>
        <stp>FIELD:UpdateTime</stp>
        <stp>TUPLENUM:112</stp>
        <tr r="AE114" s="3"/>
      </tp>
      <tp t="e">
        <v>#N/A</v>
        <stp/>
        <stp>STREAM:AppOut</stp>
        <stp>FIELD:UpdateTime</stp>
        <stp>TUPLENUM:113</stp>
        <tr r="AE115" s="3"/>
      </tp>
      <tp t="e">
        <v>#N/A</v>
        <stp/>
        <stp>STREAM:AppOut</stp>
        <stp>FIELD:UpdateTime</stp>
        <stp>TUPLENUM:110</stp>
        <tr r="AE112" s="3"/>
      </tp>
      <tp t="e">
        <v>#N/A</v>
        <stp/>
        <stp>STREAM:AppOut</stp>
        <stp>FIELD:UpdateTime</stp>
        <stp>TUPLENUM:111</stp>
        <tr r="AE113" s="3"/>
      </tp>
      <tp t="e">
        <v>#N/A</v>
        <stp/>
        <stp>STREAM:AppOut</stp>
        <stp>FIELD:UpdateTime</stp>
        <stp>TUPLENUM:118</stp>
        <tr r="AE120" s="3"/>
      </tp>
      <tp t="e">
        <v>#N/A</v>
        <stp/>
        <stp>STREAM:AppOut</stp>
        <stp>FIELD:UpdateTime</stp>
        <stp>TUPLENUM:119</stp>
        <tr r="AE121" s="3"/>
      </tp>
      <tp t="e">
        <v>#N/A</v>
        <stp/>
        <stp>STREAM:AppOut</stp>
        <stp>FIELD:UpdateTime</stp>
        <stp>TUPLENUM:126</stp>
        <tr r="AE128" s="3"/>
      </tp>
      <tp t="e">
        <v>#N/A</v>
        <stp/>
        <stp>STREAM:AppOut</stp>
        <stp>FIELD:UpdateTime</stp>
        <stp>TUPLENUM:127</stp>
        <tr r="AE129" s="3"/>
      </tp>
      <tp t="e">
        <v>#N/A</v>
        <stp/>
        <stp>STREAM:AppOut</stp>
        <stp>FIELD:UpdateTime</stp>
        <stp>TUPLENUM:124</stp>
        <tr r="AE126" s="3"/>
      </tp>
      <tp t="e">
        <v>#N/A</v>
        <stp/>
        <stp>STREAM:AppOut</stp>
        <stp>FIELD:UpdateTime</stp>
        <stp>TUPLENUM:125</stp>
        <tr r="AE127" s="3"/>
      </tp>
      <tp t="e">
        <v>#N/A</v>
        <stp/>
        <stp>STREAM:AppOut</stp>
        <stp>FIELD:UpdateTime</stp>
        <stp>TUPLENUM:122</stp>
        <tr r="AE124" s="3"/>
      </tp>
      <tp t="e">
        <v>#N/A</v>
        <stp/>
        <stp>STREAM:AppOut</stp>
        <stp>FIELD:UpdateTime</stp>
        <stp>TUPLENUM:123</stp>
        <tr r="AE125" s="3"/>
      </tp>
      <tp t="e">
        <v>#N/A</v>
        <stp/>
        <stp>STREAM:AppOut</stp>
        <stp>FIELD:UpdateTime</stp>
        <stp>TUPLENUM:120</stp>
        <tr r="AE122" s="3"/>
      </tp>
      <tp t="e">
        <v>#N/A</v>
        <stp/>
        <stp>STREAM:AppOut</stp>
        <stp>FIELD:UpdateTime</stp>
        <stp>TUPLENUM:121</stp>
        <tr r="AE123" s="3"/>
      </tp>
      <tp t="e">
        <v>#N/A</v>
        <stp/>
        <stp>STREAM:AppOut</stp>
        <stp>FIELD:UpdateTime</stp>
        <stp>TUPLENUM:128</stp>
        <tr r="AE130" s="3"/>
      </tp>
      <tp t="e">
        <v>#N/A</v>
        <stp/>
        <stp>STREAM:AppOut</stp>
        <stp>FIELD:UpdateTime</stp>
        <stp>TUPLENUM:129</stp>
        <tr r="AE131" s="3"/>
      </tp>
      <tp t="e">
        <v>#N/A</v>
        <stp/>
        <stp>STREAM:AppOut</stp>
        <stp>FIELD:UpdateTime</stp>
        <stp>TUPLENUM:136</stp>
        <tr r="AE138" s="3"/>
      </tp>
      <tp t="e">
        <v>#N/A</v>
        <stp/>
        <stp>STREAM:AppOut</stp>
        <stp>FIELD:UpdateTime</stp>
        <stp>TUPLENUM:137</stp>
        <tr r="AE139" s="3"/>
      </tp>
      <tp t="e">
        <v>#N/A</v>
        <stp/>
        <stp>STREAM:AppOut</stp>
        <stp>FIELD:UpdateTime</stp>
        <stp>TUPLENUM:134</stp>
        <tr r="AE136" s="3"/>
      </tp>
      <tp t="e">
        <v>#N/A</v>
        <stp/>
        <stp>STREAM:AppOut</stp>
        <stp>FIELD:UpdateTime</stp>
        <stp>TUPLENUM:135</stp>
        <tr r="AE137" s="3"/>
      </tp>
      <tp t="e">
        <v>#N/A</v>
        <stp/>
        <stp>STREAM:AppOut</stp>
        <stp>FIELD:UpdateTime</stp>
        <stp>TUPLENUM:132</stp>
        <tr r="AE134" s="3"/>
      </tp>
      <tp t="e">
        <v>#N/A</v>
        <stp/>
        <stp>STREAM:AppOut</stp>
        <stp>FIELD:UpdateTime</stp>
        <stp>TUPLENUM:133</stp>
        <tr r="AE135" s="3"/>
      </tp>
      <tp t="e">
        <v>#N/A</v>
        <stp/>
        <stp>STREAM:AppOut</stp>
        <stp>FIELD:UpdateTime</stp>
        <stp>TUPLENUM:130</stp>
        <tr r="AE132" s="3"/>
      </tp>
      <tp t="e">
        <v>#N/A</v>
        <stp/>
        <stp>STREAM:AppOut</stp>
        <stp>FIELD:UpdateTime</stp>
        <stp>TUPLENUM:131</stp>
        <tr r="AE133" s="3"/>
      </tp>
      <tp t="e">
        <v>#N/A</v>
        <stp/>
        <stp>STREAM:AppOut</stp>
        <stp>FIELD:UpdateTime</stp>
        <stp>TUPLENUM:138</stp>
        <tr r="AE140" s="3"/>
      </tp>
      <tp t="e">
        <v>#N/A</v>
        <stp/>
        <stp>STREAM:AppOut</stp>
        <stp>FIELD:UpdateTime</stp>
        <stp>TUPLENUM:139</stp>
        <tr r="AE141" s="3"/>
      </tp>
      <tp t="e">
        <v>#N/A</v>
        <stp/>
        <stp>STREAM:AppOut</stp>
        <stp>FIELD:UpdateTime</stp>
        <stp>TUPLENUM:140</stp>
        <tr r="AE142" s="3"/>
      </tp>
      <tp t="e">
        <v>#N/A</v>
        <stp/>
        <stp>STREAM:AppOut</stp>
        <stp>FIELD:OrderQty</stp>
        <stp>TUPLENUM:140</stp>
        <tr r="AA142" s="3"/>
      </tp>
      <tp t="e">
        <v>#N/A</v>
        <stp/>
        <stp>STREAM:AppOut</stp>
        <stp>FIELD:OrderQty</stp>
        <stp>TUPLENUM:126</stp>
        <tr r="AA128" s="3"/>
      </tp>
      <tp t="e">
        <v>#N/A</v>
        <stp/>
        <stp>STREAM:AppOut</stp>
        <stp>FIELD:OrderQty</stp>
        <stp>TUPLENUM:127</stp>
        <tr r="AA129" s="3"/>
      </tp>
      <tp t="e">
        <v>#N/A</v>
        <stp/>
        <stp>STREAM:AppOut</stp>
        <stp>FIELD:OrderQty</stp>
        <stp>TUPLENUM:124</stp>
        <tr r="AA126" s="3"/>
      </tp>
      <tp t="e">
        <v>#N/A</v>
        <stp/>
        <stp>STREAM:AppOut</stp>
        <stp>FIELD:OrderQty</stp>
        <stp>TUPLENUM:125</stp>
        <tr r="AA127" s="3"/>
      </tp>
      <tp t="e">
        <v>#N/A</v>
        <stp/>
        <stp>STREAM:AppOut</stp>
        <stp>FIELD:OrderQty</stp>
        <stp>TUPLENUM:122</stp>
        <tr r="AA124" s="3"/>
      </tp>
      <tp t="e">
        <v>#N/A</v>
        <stp/>
        <stp>STREAM:AppOut</stp>
        <stp>FIELD:OrderQty</stp>
        <stp>TUPLENUM:123</stp>
        <tr r="AA125" s="3"/>
      </tp>
      <tp t="e">
        <v>#N/A</v>
        <stp/>
        <stp>STREAM:AppOut</stp>
        <stp>FIELD:OrderQty</stp>
        <stp>TUPLENUM:120</stp>
        <tr r="AA122" s="3"/>
      </tp>
      <tp t="e">
        <v>#N/A</v>
        <stp/>
        <stp>STREAM:AppOut</stp>
        <stp>FIELD:OrderQty</stp>
        <stp>TUPLENUM:121</stp>
        <tr r="AA123" s="3"/>
      </tp>
      <tp t="e">
        <v>#N/A</v>
        <stp/>
        <stp>STREAM:AppOut</stp>
        <stp>FIELD:OrderQty</stp>
        <stp>TUPLENUM:128</stp>
        <tr r="AA130" s="3"/>
      </tp>
      <tp t="e">
        <v>#N/A</v>
        <stp/>
        <stp>STREAM:AppOut</stp>
        <stp>FIELD:OrderQty</stp>
        <stp>TUPLENUM:129</stp>
        <tr r="AA131" s="3"/>
      </tp>
      <tp t="e">
        <v>#N/A</v>
        <stp/>
        <stp>STREAM:AppOut</stp>
        <stp>FIELD:OrderQty</stp>
        <stp>TUPLENUM:136</stp>
        <tr r="AA138" s="3"/>
      </tp>
      <tp t="e">
        <v>#N/A</v>
        <stp/>
        <stp>STREAM:AppOut</stp>
        <stp>FIELD:OrderQty</stp>
        <stp>TUPLENUM:137</stp>
        <tr r="AA139" s="3"/>
      </tp>
      <tp t="e">
        <v>#N/A</v>
        <stp/>
        <stp>STREAM:AppOut</stp>
        <stp>FIELD:OrderQty</stp>
        <stp>TUPLENUM:134</stp>
        <tr r="AA136" s="3"/>
      </tp>
      <tp t="e">
        <v>#N/A</v>
        <stp/>
        <stp>STREAM:AppOut</stp>
        <stp>FIELD:OrderQty</stp>
        <stp>TUPLENUM:135</stp>
        <tr r="AA137" s="3"/>
      </tp>
      <tp t="e">
        <v>#N/A</v>
        <stp/>
        <stp>STREAM:AppOut</stp>
        <stp>FIELD:OrderQty</stp>
        <stp>TUPLENUM:132</stp>
        <tr r="AA134" s="3"/>
      </tp>
      <tp t="e">
        <v>#N/A</v>
        <stp/>
        <stp>STREAM:AppOut</stp>
        <stp>FIELD:OrderQty</stp>
        <stp>TUPLENUM:133</stp>
        <tr r="AA135" s="3"/>
      </tp>
      <tp t="e">
        <v>#N/A</v>
        <stp/>
        <stp>STREAM:AppOut</stp>
        <stp>FIELD:OrderQty</stp>
        <stp>TUPLENUM:130</stp>
        <tr r="AA132" s="3"/>
      </tp>
      <tp t="e">
        <v>#N/A</v>
        <stp/>
        <stp>STREAM:AppOut</stp>
        <stp>FIELD:OrderQty</stp>
        <stp>TUPLENUM:131</stp>
        <tr r="AA133" s="3"/>
      </tp>
      <tp t="e">
        <v>#N/A</v>
        <stp/>
        <stp>STREAM:AppOut</stp>
        <stp>FIELD:OrderQty</stp>
        <stp>TUPLENUM:138</stp>
        <tr r="AA140" s="3"/>
      </tp>
      <tp t="e">
        <v>#N/A</v>
        <stp/>
        <stp>STREAM:AppOut</stp>
        <stp>FIELD:OrderQty</stp>
        <stp>TUPLENUM:139</stp>
        <tr r="AA141" s="3"/>
      </tp>
      <tp t="e">
        <v>#N/A</v>
        <stp/>
        <stp>STREAM:AppOut</stp>
        <stp>FIELD:OrderQty</stp>
        <stp>TUPLENUM:106</stp>
        <tr r="AA108" s="3"/>
      </tp>
      <tp t="e">
        <v>#N/A</v>
        <stp/>
        <stp>STREAM:AppOut</stp>
        <stp>FIELD:OrderQty</stp>
        <stp>TUPLENUM:107</stp>
        <tr r="AA109" s="3"/>
      </tp>
      <tp t="e">
        <v>#N/A</v>
        <stp/>
        <stp>STREAM:AppOut</stp>
        <stp>FIELD:OrderQty</stp>
        <stp>TUPLENUM:104</stp>
        <tr r="AA106" s="3"/>
      </tp>
      <tp t="e">
        <v>#N/A</v>
        <stp/>
        <stp>STREAM:AppOut</stp>
        <stp>FIELD:OrderQty</stp>
        <stp>TUPLENUM:105</stp>
        <tr r="AA107" s="3"/>
      </tp>
      <tp t="e">
        <v>#N/A</v>
        <stp/>
        <stp>STREAM:AppOut</stp>
        <stp>FIELD:OrderQty</stp>
        <stp>TUPLENUM:102</stp>
        <tr r="AA104" s="3"/>
      </tp>
      <tp t="e">
        <v>#N/A</v>
        <stp/>
        <stp>STREAM:AppOut</stp>
        <stp>FIELD:OrderQty</stp>
        <stp>TUPLENUM:103</stp>
        <tr r="AA105" s="3"/>
      </tp>
      <tp t="e">
        <v>#N/A</v>
        <stp/>
        <stp>STREAM:AppOut</stp>
        <stp>FIELD:OrderQty</stp>
        <stp>TUPLENUM:100</stp>
        <tr r="AA102" s="3"/>
      </tp>
      <tp t="e">
        <v>#N/A</v>
        <stp/>
        <stp>STREAM:AppOut</stp>
        <stp>FIELD:OrderQty</stp>
        <stp>TUPLENUM:101</stp>
        <tr r="AA103" s="3"/>
      </tp>
      <tp t="e">
        <v>#N/A</v>
        <stp/>
        <stp>STREAM:AppOut</stp>
        <stp>FIELD:OrderQty</stp>
        <stp>TUPLENUM:108</stp>
        <tr r="AA110" s="3"/>
      </tp>
      <tp t="e">
        <v>#N/A</v>
        <stp/>
        <stp>STREAM:AppOut</stp>
        <stp>FIELD:OrderQty</stp>
        <stp>TUPLENUM:109</stp>
        <tr r="AA111" s="3"/>
      </tp>
      <tp t="e">
        <v>#N/A</v>
        <stp/>
        <stp>STREAM:AppOut</stp>
        <stp>FIELD:OrderQty</stp>
        <stp>TUPLENUM:116</stp>
        <tr r="AA118" s="3"/>
      </tp>
      <tp t="e">
        <v>#N/A</v>
        <stp/>
        <stp>STREAM:AppOut</stp>
        <stp>FIELD:OrderQty</stp>
        <stp>TUPLENUM:117</stp>
        <tr r="AA119" s="3"/>
      </tp>
      <tp t="e">
        <v>#N/A</v>
        <stp/>
        <stp>STREAM:AppOut</stp>
        <stp>FIELD:OrderQty</stp>
        <stp>TUPLENUM:114</stp>
        <tr r="AA116" s="3"/>
      </tp>
      <tp t="e">
        <v>#N/A</v>
        <stp/>
        <stp>STREAM:AppOut</stp>
        <stp>FIELD:OrderQty</stp>
        <stp>TUPLENUM:115</stp>
        <tr r="AA117" s="3"/>
      </tp>
      <tp t="e">
        <v>#N/A</v>
        <stp/>
        <stp>STREAM:AppOut</stp>
        <stp>FIELD:OrderQty</stp>
        <stp>TUPLENUM:112</stp>
        <tr r="AA114" s="3"/>
      </tp>
      <tp t="e">
        <v>#N/A</v>
        <stp/>
        <stp>STREAM:AppOut</stp>
        <stp>FIELD:OrderQty</stp>
        <stp>TUPLENUM:113</stp>
        <tr r="AA115" s="3"/>
      </tp>
      <tp t="e">
        <v>#N/A</v>
        <stp/>
        <stp>STREAM:AppOut</stp>
        <stp>FIELD:OrderQty</stp>
        <stp>TUPLENUM:110</stp>
        <tr r="AA112" s="3"/>
      </tp>
      <tp t="e">
        <v>#N/A</v>
        <stp/>
        <stp>STREAM:AppOut</stp>
        <stp>FIELD:OrderQty</stp>
        <stp>TUPLENUM:111</stp>
        <tr r="AA113" s="3"/>
      </tp>
      <tp t="e">
        <v>#N/A</v>
        <stp/>
        <stp>STREAM:AppOut</stp>
        <stp>FIELD:OrderQty</stp>
        <stp>TUPLENUM:118</stp>
        <tr r="AA120" s="3"/>
      </tp>
      <tp t="e">
        <v>#N/A</v>
        <stp/>
        <stp>STREAM:AppOut</stp>
        <stp>FIELD:OrderQty</stp>
        <stp>TUPLENUM:119</stp>
        <tr r="AA121" s="3"/>
      </tp>
      <tp t="e">
        <v>#N/A</v>
        <stp/>
        <stp>STREAM:AppOut</stp>
        <stp>FIELD:OrderStatus</stp>
        <stp>TUPLENUM:39</stp>
        <tr r="X41" s="3"/>
      </tp>
      <tp t="e">
        <v>#N/A</v>
        <stp/>
        <stp>STREAM:AppOut</stp>
        <stp>FIELD:OrderStatus</stp>
        <stp>TUPLENUM:38</stp>
        <tr r="X40" s="3"/>
      </tp>
      <tp t="e">
        <v>#N/A</v>
        <stp/>
        <stp>STREAM:AppOut</stp>
        <stp>FIELD:OrderStatus</stp>
        <stp>TUPLENUM:35</stp>
        <tr r="X37" s="3"/>
      </tp>
      <tp t="e">
        <v>#N/A</v>
        <stp/>
        <stp>STREAM:AppOut</stp>
        <stp>FIELD:OrderStatus</stp>
        <stp>TUPLENUM:34</stp>
        <tr r="X36" s="3"/>
      </tp>
      <tp t="e">
        <v>#N/A</v>
        <stp/>
        <stp>STREAM:AppOut</stp>
        <stp>FIELD:OrderStatus</stp>
        <stp>TUPLENUM:37</stp>
        <tr r="X39" s="3"/>
      </tp>
      <tp t="e">
        <v>#N/A</v>
        <stp/>
        <stp>STREAM:AppOut</stp>
        <stp>FIELD:OrderStatus</stp>
        <stp>TUPLENUM:36</stp>
        <tr r="X38" s="3"/>
      </tp>
      <tp t="e">
        <v>#N/A</v>
        <stp/>
        <stp>STREAM:AppOut</stp>
        <stp>FIELD:OrderStatus</stp>
        <stp>TUPLENUM:31</stp>
        <tr r="X33" s="3"/>
      </tp>
      <tp t="e">
        <v>#N/A</v>
        <stp/>
        <stp>STREAM:AppOut</stp>
        <stp>FIELD:OrderStatus</stp>
        <stp>TUPLENUM:30</stp>
        <tr r="X32" s="3"/>
      </tp>
      <tp t="e">
        <v>#N/A</v>
        <stp/>
        <stp>STREAM:AppOut</stp>
        <stp>FIELD:OrderStatus</stp>
        <stp>TUPLENUM:33</stp>
        <tr r="X35" s="3"/>
      </tp>
      <tp t="e">
        <v>#N/A</v>
        <stp/>
        <stp>STREAM:AppOut</stp>
        <stp>FIELD:OrderStatus</stp>
        <stp>TUPLENUM:32</stp>
        <tr r="X34" s="3"/>
      </tp>
      <tp t="e">
        <v>#N/A</v>
        <stp/>
        <stp>STREAM:AppOut</stp>
        <stp>FIELD:OrderStatus</stp>
        <stp>TUPLENUM:29</stp>
        <tr r="X31" s="3"/>
      </tp>
      <tp t="e">
        <v>#N/A</v>
        <stp/>
        <stp>STREAM:AppOut</stp>
        <stp>FIELD:OrderStatus</stp>
        <stp>TUPLENUM:28</stp>
        <tr r="X30" s="3"/>
      </tp>
      <tp t="e">
        <v>#N/A</v>
        <stp/>
        <stp>STREAM:AppOut</stp>
        <stp>FIELD:OrderStatus</stp>
        <stp>TUPLENUM:25</stp>
        <tr r="X27" s="3"/>
      </tp>
      <tp t="e">
        <v>#N/A</v>
        <stp/>
        <stp>STREAM:AppOut</stp>
        <stp>FIELD:OrderStatus</stp>
        <stp>TUPLENUM:24</stp>
        <tr r="X26" s="3"/>
      </tp>
      <tp t="e">
        <v>#N/A</v>
        <stp/>
        <stp>STREAM:AppOut</stp>
        <stp>FIELD:OrderStatus</stp>
        <stp>TUPLENUM:27</stp>
        <tr r="X29" s="3"/>
      </tp>
      <tp t="e">
        <v>#N/A</v>
        <stp/>
        <stp>STREAM:AppOut</stp>
        <stp>FIELD:OrderStatus</stp>
        <stp>TUPLENUM:26</stp>
        <tr r="X28" s="3"/>
      </tp>
      <tp t="e">
        <v>#N/A</v>
        <stp/>
        <stp>STREAM:AppOut</stp>
        <stp>FIELD:OrderStatus</stp>
        <stp>TUPLENUM:21</stp>
        <tr r="X23" s="3"/>
      </tp>
      <tp t="e">
        <v>#N/A</v>
        <stp/>
        <stp>STREAM:AppOut</stp>
        <stp>FIELD:OrderStatus</stp>
        <stp>TUPLENUM:20</stp>
        <tr r="X22" s="3"/>
      </tp>
      <tp t="e">
        <v>#N/A</v>
        <stp/>
        <stp>STREAM:AppOut</stp>
        <stp>FIELD:OrderStatus</stp>
        <stp>TUPLENUM:23</stp>
        <tr r="X25" s="3"/>
      </tp>
      <tp t="e">
        <v>#N/A</v>
        <stp/>
        <stp>STREAM:AppOut</stp>
        <stp>FIELD:OrderStatus</stp>
        <stp>TUPLENUM:22</stp>
        <tr r="X24" s="3"/>
      </tp>
      <tp t="e">
        <v>#N/A</v>
        <stp/>
        <stp>STREAM:AppOut</stp>
        <stp>FIELD:OrderStatus</stp>
        <stp>TUPLENUM:19</stp>
        <tr r="X21" s="3"/>
      </tp>
      <tp t="e">
        <v>#N/A</v>
        <stp/>
        <stp>STREAM:AppOut</stp>
        <stp>FIELD:OrderStatus</stp>
        <stp>TUPLENUM:18</stp>
        <tr r="X20" s="3"/>
      </tp>
      <tp t="e">
        <v>#N/A</v>
        <stp/>
        <stp>STREAM:AppOut</stp>
        <stp>FIELD:OrderStatus</stp>
        <stp>TUPLENUM:15</stp>
        <tr r="X17" s="3"/>
      </tp>
      <tp t="e">
        <v>#N/A</v>
        <stp/>
        <stp>STREAM:AppOut</stp>
        <stp>FIELD:OrderStatus</stp>
        <stp>TUPLENUM:14</stp>
        <tr r="X16" s="3"/>
      </tp>
      <tp t="e">
        <v>#N/A</v>
        <stp/>
        <stp>STREAM:AppOut</stp>
        <stp>FIELD:OrderStatus</stp>
        <stp>TUPLENUM:17</stp>
        <tr r="X19" s="3"/>
      </tp>
      <tp t="e">
        <v>#N/A</v>
        <stp/>
        <stp>STREAM:AppOut</stp>
        <stp>FIELD:OrderStatus</stp>
        <stp>TUPLENUM:16</stp>
        <tr r="X18" s="3"/>
      </tp>
      <tp t="e">
        <v>#N/A</v>
        <stp/>
        <stp>STREAM:AppOut</stp>
        <stp>FIELD:OrderStatus</stp>
        <stp>TUPLENUM:11</stp>
        <tr r="X13" s="3"/>
      </tp>
      <tp t="e">
        <v>#N/A</v>
        <stp/>
        <stp>STREAM:AppOut</stp>
        <stp>FIELD:OrderStatus</stp>
        <stp>TUPLENUM:10</stp>
        <tr r="X12" s="3"/>
      </tp>
      <tp t="e">
        <v>#N/A</v>
        <stp/>
        <stp>STREAM:AppOut</stp>
        <stp>FIELD:OrderStatus</stp>
        <stp>TUPLENUM:13</stp>
        <tr r="X15" s="3"/>
      </tp>
      <tp t="e">
        <v>#N/A</v>
        <stp/>
        <stp>STREAM:AppOut</stp>
        <stp>FIELD:OrderStatus</stp>
        <stp>TUPLENUM:12</stp>
        <tr r="X14" s="3"/>
      </tp>
      <tp t="e">
        <v>#N/A</v>
        <stp/>
        <stp>STREAM:AppOut</stp>
        <stp>FIELD:OrderStatus</stp>
        <stp>TUPLENUM:79</stp>
        <tr r="X81" s="3"/>
      </tp>
      <tp t="e">
        <v>#N/A</v>
        <stp/>
        <stp>STREAM:AppOut</stp>
        <stp>FIELD:OrderStatus</stp>
        <stp>TUPLENUM:78</stp>
        <tr r="X80" s="3"/>
      </tp>
      <tp t="e">
        <v>#N/A</v>
        <stp/>
        <stp>STREAM:AppOut</stp>
        <stp>FIELD:OrderStatus</stp>
        <stp>TUPLENUM:75</stp>
        <tr r="X77" s="3"/>
      </tp>
      <tp t="e">
        <v>#N/A</v>
        <stp/>
        <stp>STREAM:AppOut</stp>
        <stp>FIELD:OrderStatus</stp>
        <stp>TUPLENUM:74</stp>
        <tr r="X76" s="3"/>
      </tp>
      <tp t="e">
        <v>#N/A</v>
        <stp/>
        <stp>STREAM:AppOut</stp>
        <stp>FIELD:OrderStatus</stp>
        <stp>TUPLENUM:77</stp>
        <tr r="X79" s="3"/>
      </tp>
      <tp t="e">
        <v>#N/A</v>
        <stp/>
        <stp>STREAM:AppOut</stp>
        <stp>FIELD:OrderStatus</stp>
        <stp>TUPLENUM:76</stp>
        <tr r="X78" s="3"/>
      </tp>
      <tp t="e">
        <v>#N/A</v>
        <stp/>
        <stp>STREAM:AppOut</stp>
        <stp>FIELD:OrderStatus</stp>
        <stp>TUPLENUM:71</stp>
        <tr r="X73" s="3"/>
      </tp>
      <tp t="e">
        <v>#N/A</v>
        <stp/>
        <stp>STREAM:AppOut</stp>
        <stp>FIELD:OrderStatus</stp>
        <stp>TUPLENUM:70</stp>
        <tr r="X72" s="3"/>
      </tp>
      <tp t="e">
        <v>#N/A</v>
        <stp/>
        <stp>STREAM:AppOut</stp>
        <stp>FIELD:OrderStatus</stp>
        <stp>TUPLENUM:73</stp>
        <tr r="X75" s="3"/>
      </tp>
      <tp t="e">
        <v>#N/A</v>
        <stp/>
        <stp>STREAM:AppOut</stp>
        <stp>FIELD:OrderStatus</stp>
        <stp>TUPLENUM:72</stp>
        <tr r="X74" s="3"/>
      </tp>
      <tp t="e">
        <v>#N/A</v>
        <stp/>
        <stp>STREAM:AppOut</stp>
        <stp>FIELD:OrderStatus</stp>
        <stp>TUPLENUM:69</stp>
        <tr r="X71" s="3"/>
      </tp>
      <tp t="e">
        <v>#N/A</v>
        <stp/>
        <stp>STREAM:AppOut</stp>
        <stp>FIELD:OrderStatus</stp>
        <stp>TUPLENUM:68</stp>
        <tr r="X70" s="3"/>
      </tp>
      <tp t="e">
        <v>#N/A</v>
        <stp/>
        <stp>STREAM:AppOut</stp>
        <stp>FIELD:OrderStatus</stp>
        <stp>TUPLENUM:65</stp>
        <tr r="X67" s="3"/>
      </tp>
      <tp t="e">
        <v>#N/A</v>
        <stp/>
        <stp>STREAM:AppOut</stp>
        <stp>FIELD:OrderStatus</stp>
        <stp>TUPLENUM:64</stp>
        <tr r="X66" s="3"/>
      </tp>
      <tp t="e">
        <v>#N/A</v>
        <stp/>
        <stp>STREAM:AppOut</stp>
        <stp>FIELD:OrderStatus</stp>
        <stp>TUPLENUM:67</stp>
        <tr r="X69" s="3"/>
      </tp>
      <tp t="e">
        <v>#N/A</v>
        <stp/>
        <stp>STREAM:AppOut</stp>
        <stp>FIELD:OrderStatus</stp>
        <stp>TUPLENUM:66</stp>
        <tr r="X68" s="3"/>
      </tp>
      <tp t="e">
        <v>#N/A</v>
        <stp/>
        <stp>STREAM:AppOut</stp>
        <stp>FIELD:OrderStatus</stp>
        <stp>TUPLENUM:61</stp>
        <tr r="X63" s="3"/>
      </tp>
      <tp t="e">
        <v>#N/A</v>
        <stp/>
        <stp>STREAM:AppOut</stp>
        <stp>FIELD:OrderStatus</stp>
        <stp>TUPLENUM:60</stp>
        <tr r="X62" s="3"/>
      </tp>
      <tp t="e">
        <v>#N/A</v>
        <stp/>
        <stp>STREAM:AppOut</stp>
        <stp>FIELD:OrderStatus</stp>
        <stp>TUPLENUM:63</stp>
        <tr r="X65" s="3"/>
      </tp>
      <tp t="e">
        <v>#N/A</v>
        <stp/>
        <stp>STREAM:AppOut</stp>
        <stp>FIELD:OrderStatus</stp>
        <stp>TUPLENUM:62</stp>
        <tr r="X64" s="3"/>
      </tp>
      <tp t="e">
        <v>#N/A</v>
        <stp/>
        <stp>STREAM:AppOut</stp>
        <stp>FIELD:OrderStatus</stp>
        <stp>TUPLENUM:59</stp>
        <tr r="X61" s="3"/>
      </tp>
      <tp t="e">
        <v>#N/A</v>
        <stp/>
        <stp>STREAM:AppOut</stp>
        <stp>FIELD:OrderStatus</stp>
        <stp>TUPLENUM:58</stp>
        <tr r="X60" s="3"/>
      </tp>
      <tp t="e">
        <v>#N/A</v>
        <stp/>
        <stp>STREAM:AppOut</stp>
        <stp>FIELD:OrderStatus</stp>
        <stp>TUPLENUM:55</stp>
        <tr r="X57" s="3"/>
      </tp>
      <tp t="e">
        <v>#N/A</v>
        <stp/>
        <stp>STREAM:AppOut</stp>
        <stp>FIELD:OrderStatus</stp>
        <stp>TUPLENUM:54</stp>
        <tr r="X56" s="3"/>
      </tp>
      <tp t="e">
        <v>#N/A</v>
        <stp/>
        <stp>STREAM:AppOut</stp>
        <stp>FIELD:OrderStatus</stp>
        <stp>TUPLENUM:57</stp>
        <tr r="X59" s="3"/>
      </tp>
      <tp t="e">
        <v>#N/A</v>
        <stp/>
        <stp>STREAM:AppOut</stp>
        <stp>FIELD:OrderStatus</stp>
        <stp>TUPLENUM:56</stp>
        <tr r="X58" s="3"/>
      </tp>
      <tp t="e">
        <v>#N/A</v>
        <stp/>
        <stp>STREAM:AppOut</stp>
        <stp>FIELD:OrderStatus</stp>
        <stp>TUPLENUM:51</stp>
        <tr r="X53" s="3"/>
      </tp>
      <tp t="e">
        <v>#N/A</v>
        <stp/>
        <stp>STREAM:AppOut</stp>
        <stp>FIELD:OrderStatus</stp>
        <stp>TUPLENUM:50</stp>
        <tr r="X52" s="3"/>
      </tp>
      <tp t="e">
        <v>#N/A</v>
        <stp/>
        <stp>STREAM:AppOut</stp>
        <stp>FIELD:OrderStatus</stp>
        <stp>TUPLENUM:53</stp>
        <tr r="X55" s="3"/>
      </tp>
      <tp t="e">
        <v>#N/A</v>
        <stp/>
        <stp>STREAM:AppOut</stp>
        <stp>FIELD:OrderStatus</stp>
        <stp>TUPLENUM:52</stp>
        <tr r="X54" s="3"/>
      </tp>
      <tp t="e">
        <v>#N/A</v>
        <stp/>
        <stp>STREAM:AppOut</stp>
        <stp>FIELD:OrderStatus</stp>
        <stp>TUPLENUM:49</stp>
        <tr r="X51" s="3"/>
      </tp>
      <tp t="e">
        <v>#N/A</v>
        <stp/>
        <stp>STREAM:AppOut</stp>
        <stp>FIELD:OrderStatus</stp>
        <stp>TUPLENUM:48</stp>
        <tr r="X50" s="3"/>
      </tp>
      <tp t="e">
        <v>#N/A</v>
        <stp/>
        <stp>STREAM:AppOut</stp>
        <stp>FIELD:OrderStatus</stp>
        <stp>TUPLENUM:45</stp>
        <tr r="X47" s="3"/>
      </tp>
      <tp t="e">
        <v>#N/A</v>
        <stp/>
        <stp>STREAM:AppOut</stp>
        <stp>FIELD:OrderStatus</stp>
        <stp>TUPLENUM:44</stp>
        <tr r="X46" s="3"/>
      </tp>
      <tp t="e">
        <v>#N/A</v>
        <stp/>
        <stp>STREAM:AppOut</stp>
        <stp>FIELD:OrderStatus</stp>
        <stp>TUPLENUM:47</stp>
        <tr r="X49" s="3"/>
      </tp>
      <tp t="e">
        <v>#N/A</v>
        <stp/>
        <stp>STREAM:AppOut</stp>
        <stp>FIELD:OrderStatus</stp>
        <stp>TUPLENUM:46</stp>
        <tr r="X48" s="3"/>
      </tp>
      <tp t="e">
        <v>#N/A</v>
        <stp/>
        <stp>STREAM:AppOut</stp>
        <stp>FIELD:OrderStatus</stp>
        <stp>TUPLENUM:41</stp>
        <tr r="X43" s="3"/>
      </tp>
      <tp t="e">
        <v>#N/A</v>
        <stp/>
        <stp>STREAM:AppOut</stp>
        <stp>FIELD:OrderStatus</stp>
        <stp>TUPLENUM:40</stp>
        <tr r="X42" s="3"/>
      </tp>
      <tp t="e">
        <v>#N/A</v>
        <stp/>
        <stp>STREAM:AppOut</stp>
        <stp>FIELD:OrderStatus</stp>
        <stp>TUPLENUM:43</stp>
        <tr r="X45" s="3"/>
      </tp>
      <tp t="e">
        <v>#N/A</v>
        <stp/>
        <stp>STREAM:AppOut</stp>
        <stp>FIELD:OrderStatus</stp>
        <stp>TUPLENUM:42</stp>
        <tr r="X44" s="3"/>
      </tp>
      <tp t="e">
        <v>#N/A</v>
        <stp/>
        <stp>STREAM:AppOut</stp>
        <stp>FIELD:OrderStatus</stp>
        <stp>TUPLENUM:99</stp>
        <tr r="X101" s="3"/>
      </tp>
      <tp t="e">
        <v>#N/A</v>
        <stp/>
        <stp>STREAM:AppOut</stp>
        <stp>FIELD:OrderStatus</stp>
        <stp>TUPLENUM:98</stp>
        <tr r="X100" s="3"/>
      </tp>
      <tp t="e">
        <v>#N/A</v>
        <stp/>
        <stp>STREAM:AppOut</stp>
        <stp>FIELD:OrderStatus</stp>
        <stp>TUPLENUM:95</stp>
        <tr r="X97" s="3"/>
      </tp>
      <tp t="e">
        <v>#N/A</v>
        <stp/>
        <stp>STREAM:AppOut</stp>
        <stp>FIELD:OrderStatus</stp>
        <stp>TUPLENUM:94</stp>
        <tr r="X96" s="3"/>
      </tp>
      <tp t="e">
        <v>#N/A</v>
        <stp/>
        <stp>STREAM:AppOut</stp>
        <stp>FIELD:OrderStatus</stp>
        <stp>TUPLENUM:97</stp>
        <tr r="X99" s="3"/>
      </tp>
      <tp t="e">
        <v>#N/A</v>
        <stp/>
        <stp>STREAM:AppOut</stp>
        <stp>FIELD:OrderStatus</stp>
        <stp>TUPLENUM:96</stp>
        <tr r="X98" s="3"/>
      </tp>
      <tp t="e">
        <v>#N/A</v>
        <stp/>
        <stp>STREAM:AppOut</stp>
        <stp>FIELD:OrderStatus</stp>
        <stp>TUPLENUM:91</stp>
        <tr r="X93" s="3"/>
      </tp>
      <tp t="e">
        <v>#N/A</v>
        <stp/>
        <stp>STREAM:AppOut</stp>
        <stp>FIELD:OrderStatus</stp>
        <stp>TUPLENUM:90</stp>
        <tr r="X92" s="3"/>
      </tp>
      <tp t="e">
        <v>#N/A</v>
        <stp/>
        <stp>STREAM:AppOut</stp>
        <stp>FIELD:OrderStatus</stp>
        <stp>TUPLENUM:93</stp>
        <tr r="X95" s="3"/>
      </tp>
      <tp t="e">
        <v>#N/A</v>
        <stp/>
        <stp>STREAM:AppOut</stp>
        <stp>FIELD:OrderStatus</stp>
        <stp>TUPLENUM:92</stp>
        <tr r="X94" s="3"/>
      </tp>
      <tp t="e">
        <v>#N/A</v>
        <stp/>
        <stp>STREAM:AppOut</stp>
        <stp>FIELD:OrderStatus</stp>
        <stp>TUPLENUM:89</stp>
        <tr r="X91" s="3"/>
      </tp>
      <tp t="e">
        <v>#N/A</v>
        <stp/>
        <stp>STREAM:AppOut</stp>
        <stp>FIELD:OrderStatus</stp>
        <stp>TUPLENUM:88</stp>
        <tr r="X90" s="3"/>
      </tp>
      <tp t="e">
        <v>#N/A</v>
        <stp/>
        <stp>STREAM:AppOut</stp>
        <stp>FIELD:OrderStatus</stp>
        <stp>TUPLENUM:85</stp>
        <tr r="X87" s="3"/>
      </tp>
      <tp t="e">
        <v>#N/A</v>
        <stp/>
        <stp>STREAM:AppOut</stp>
        <stp>FIELD:OrderStatus</stp>
        <stp>TUPLENUM:84</stp>
        <tr r="X86" s="3"/>
      </tp>
      <tp t="e">
        <v>#N/A</v>
        <stp/>
        <stp>STREAM:AppOut</stp>
        <stp>FIELD:OrderStatus</stp>
        <stp>TUPLENUM:87</stp>
        <tr r="X89" s="3"/>
      </tp>
      <tp t="e">
        <v>#N/A</v>
        <stp/>
        <stp>STREAM:AppOut</stp>
        <stp>FIELD:OrderStatus</stp>
        <stp>TUPLENUM:86</stp>
        <tr r="X88" s="3"/>
      </tp>
      <tp t="e">
        <v>#N/A</v>
        <stp/>
        <stp>STREAM:AppOut</stp>
        <stp>FIELD:OrderStatus</stp>
        <stp>TUPLENUM:81</stp>
        <tr r="X83" s="3"/>
      </tp>
      <tp t="e">
        <v>#N/A</v>
        <stp/>
        <stp>STREAM:AppOut</stp>
        <stp>FIELD:OrderStatus</stp>
        <stp>TUPLENUM:80</stp>
        <tr r="X82" s="3"/>
      </tp>
      <tp t="e">
        <v>#N/A</v>
        <stp/>
        <stp>STREAM:AppOut</stp>
        <stp>FIELD:OrderStatus</stp>
        <stp>TUPLENUM:83</stp>
        <tr r="X85" s="3"/>
      </tp>
      <tp t="e">
        <v>#N/A</v>
        <stp/>
        <stp>STREAM:AppOut</stp>
        <stp>FIELD:OrderStatus</stp>
        <stp>TUPLENUM:82</stp>
        <tr r="X84" s="3"/>
      </tp>
      <tp t="e">
        <v>#N/A</v>
        <stp/>
        <stp>STREAM:AppOut</stp>
        <stp>FIELD:LeavesQty</stp>
        <stp>TUPLENUM:8</stp>
        <tr r="AG10" s="3"/>
      </tp>
      <tp t="e">
        <v>#N/A</v>
        <stp/>
        <stp>STREAM:AppOut</stp>
        <stp>FIELD:LeavesQty</stp>
        <stp>TUPLENUM:9</stp>
        <tr r="AG11" s="3"/>
      </tp>
      <tp t="e">
        <v>#N/A</v>
        <stp/>
        <stp>STREAM:AppOut</stp>
        <stp>FIELD:LeavesQty</stp>
        <stp>TUPLENUM:6</stp>
        <tr r="AG8" s="3"/>
      </tp>
      <tp t="e">
        <v>#N/A</v>
        <stp/>
        <stp>STREAM:AppOut</stp>
        <stp>FIELD:LeavesQty</stp>
        <stp>TUPLENUM:7</stp>
        <tr r="AG9" s="3"/>
      </tp>
      <tp t="e">
        <v>#N/A</v>
        <stp/>
        <stp>STREAM:AppOut</stp>
        <stp>FIELD:LeavesQty</stp>
        <stp>TUPLENUM:4</stp>
        <tr r="AG6" s="3"/>
      </tp>
      <tp t="e">
        <v>#N/A</v>
        <stp/>
        <stp>STREAM:AppOut</stp>
        <stp>FIELD:LeavesQty</stp>
        <stp>TUPLENUM:5</stp>
        <tr r="AG7" s="3"/>
      </tp>
      <tp t="e">
        <v>#N/A</v>
        <stp/>
        <stp>STREAM:AppOut</stp>
        <stp>FIELD:LeavesQty</stp>
        <stp>TUPLENUM:2</stp>
        <tr r="AG4" s="3"/>
      </tp>
      <tp t="e">
        <v>#N/A</v>
        <stp/>
        <stp>STREAM:AppOut</stp>
        <stp>FIELD:LeavesQty</stp>
        <stp>TUPLENUM:3</stp>
        <tr r="AG5" s="3"/>
      </tp>
      <tp t="e">
        <v>#N/A</v>
        <stp/>
        <stp>STREAM:AppOut</stp>
        <stp>FIELD:LeavesQty</stp>
        <stp>TUPLENUM:1</stp>
        <tr r="AG3" s="3"/>
      </tp>
      <tp t="e">
        <v>#N/A</v>
        <stp/>
        <stp>STREAM:AppOut</stp>
        <stp>FIELD:BuySell</stp>
        <stp>TUPLENUM:2</stp>
        <tr r="Y4" s="3"/>
      </tp>
      <tp t="e">
        <v>#N/A</v>
        <stp/>
        <stp>STREAM:AppOut</stp>
        <stp>FIELD:BuySell</stp>
        <stp>TUPLENUM:3</stp>
        <tr r="Y5" s="3"/>
      </tp>
      <tp t="e">
        <v>#N/A</v>
        <stp/>
        <stp>STREAM:AppOut</stp>
        <stp>FIELD:BuySell</stp>
        <stp>TUPLENUM:1</stp>
        <tr r="Y3" s="3"/>
      </tp>
      <tp t="e">
        <v>#N/A</v>
        <stp/>
        <stp>STREAM:AppOut</stp>
        <stp>FIELD:BuySell</stp>
        <stp>TUPLENUM:6</stp>
        <tr r="Y8" s="3"/>
      </tp>
      <tp t="e">
        <v>#N/A</v>
        <stp/>
        <stp>STREAM:AppOut</stp>
        <stp>FIELD:BuySell</stp>
        <stp>TUPLENUM:7</stp>
        <tr r="Y9" s="3"/>
      </tp>
      <tp t="e">
        <v>#N/A</v>
        <stp/>
        <stp>STREAM:AppOut</stp>
        <stp>FIELD:BuySell</stp>
        <stp>TUPLENUM:4</stp>
        <tr r="Y6" s="3"/>
      </tp>
      <tp t="e">
        <v>#N/A</v>
        <stp/>
        <stp>STREAM:AppOut</stp>
        <stp>FIELD:BuySell</stp>
        <stp>TUPLENUM:5</stp>
        <tr r="Y7" s="3"/>
      </tp>
      <tp t="e">
        <v>#N/A</v>
        <stp/>
        <stp>STREAM:AppOut</stp>
        <stp>FIELD:BuySell</stp>
        <stp>TUPLENUM:8</stp>
        <tr r="Y10" s="3"/>
      </tp>
      <tp t="e">
        <v>#N/A</v>
        <stp/>
        <stp>STREAM:AppOut</stp>
        <stp>FIELD:BuySell</stp>
        <stp>TUPLENUM:9</stp>
        <tr r="Y11" s="3"/>
      </tp>
      <tp t="e">
        <v>#N/A</v>
        <stp/>
        <stp>STREAM:AppOut</stp>
        <stp>FIELD:TradeDate</stp>
        <stp>TUPLENUM:87</stp>
        <tr r="AI89" s="3"/>
      </tp>
      <tp t="e">
        <v>#N/A</v>
        <stp/>
        <stp>STREAM:AppOut</stp>
        <stp>FIELD:TradeDate</stp>
        <stp>TUPLENUM:86</stp>
        <tr r="AI88" s="3"/>
      </tp>
      <tp t="e">
        <v>#N/A</v>
        <stp/>
        <stp>STREAM:AppOut</stp>
        <stp>FIELD:TradeDate</stp>
        <stp>TUPLENUM:85</stp>
        <tr r="AI87" s="3"/>
      </tp>
      <tp t="e">
        <v>#N/A</v>
        <stp/>
        <stp>STREAM:AppOut</stp>
        <stp>FIELD:TradeDate</stp>
        <stp>TUPLENUM:84</stp>
        <tr r="AI86" s="3"/>
      </tp>
      <tp t="e">
        <v>#N/A</v>
        <stp/>
        <stp>STREAM:AppOut</stp>
        <stp>FIELD:TradeDate</stp>
        <stp>TUPLENUM:83</stp>
        <tr r="AI85" s="3"/>
      </tp>
      <tp t="e">
        <v>#N/A</v>
        <stp/>
        <stp>STREAM:AppOut</stp>
        <stp>FIELD:TradeDate</stp>
        <stp>TUPLENUM:82</stp>
        <tr r="AI84" s="3"/>
      </tp>
      <tp t="e">
        <v>#N/A</v>
        <stp/>
        <stp>STREAM:AppOut</stp>
        <stp>FIELD:TradeDate</stp>
        <stp>TUPLENUM:81</stp>
        <tr r="AI83" s="3"/>
      </tp>
      <tp t="e">
        <v>#N/A</v>
        <stp/>
        <stp>STREAM:AppOut</stp>
        <stp>FIELD:TradeDate</stp>
        <stp>TUPLENUM:80</stp>
        <tr r="AI82" s="3"/>
      </tp>
      <tp t="e">
        <v>#N/A</v>
        <stp/>
        <stp>STREAM:AppOut</stp>
        <stp>FIELD:TradeDate</stp>
        <stp>TUPLENUM:89</stp>
        <tr r="AI91" s="3"/>
      </tp>
      <tp t="e">
        <v>#N/A</v>
        <stp/>
        <stp>STREAM:AppOut</stp>
        <stp>FIELD:TradeDate</stp>
        <stp>TUPLENUM:88</stp>
        <tr r="AI90" s="3"/>
      </tp>
      <tp t="e">
        <v>#N/A</v>
        <stp/>
        <stp>STREAM:AppOut</stp>
        <stp>FIELD:TradeDate</stp>
        <stp>TUPLENUM:97</stp>
        <tr r="AI99" s="3"/>
      </tp>
      <tp t="e">
        <v>#N/A</v>
        <stp/>
        <stp>STREAM:AppOut</stp>
        <stp>FIELD:TradeDate</stp>
        <stp>TUPLENUM:96</stp>
        <tr r="AI98" s="3"/>
      </tp>
      <tp t="e">
        <v>#N/A</v>
        <stp/>
        <stp>STREAM:AppOut</stp>
        <stp>FIELD:TradeDate</stp>
        <stp>TUPLENUM:95</stp>
        <tr r="AI97" s="3"/>
      </tp>
      <tp t="e">
        <v>#N/A</v>
        <stp/>
        <stp>STREAM:AppOut</stp>
        <stp>FIELD:TradeDate</stp>
        <stp>TUPLENUM:94</stp>
        <tr r="AI96" s="3"/>
      </tp>
      <tp t="e">
        <v>#N/A</v>
        <stp/>
        <stp>STREAM:AppOut</stp>
        <stp>FIELD:TradeDate</stp>
        <stp>TUPLENUM:93</stp>
        <tr r="AI95" s="3"/>
      </tp>
      <tp t="e">
        <v>#N/A</v>
        <stp/>
        <stp>STREAM:AppOut</stp>
        <stp>FIELD:TradeDate</stp>
        <stp>TUPLENUM:92</stp>
        <tr r="AI94" s="3"/>
      </tp>
      <tp t="e">
        <v>#N/A</v>
        <stp/>
        <stp>STREAM:AppOut</stp>
        <stp>FIELD:TradeDate</stp>
        <stp>TUPLENUM:91</stp>
        <tr r="AI93" s="3"/>
      </tp>
      <tp t="e">
        <v>#N/A</v>
        <stp/>
        <stp>STREAM:AppOut</stp>
        <stp>FIELD:TradeDate</stp>
        <stp>TUPLENUM:90</stp>
        <tr r="AI92" s="3"/>
      </tp>
      <tp t="e">
        <v>#N/A</v>
        <stp/>
        <stp>STREAM:AppOut</stp>
        <stp>FIELD:TradeDate</stp>
        <stp>TUPLENUM:99</stp>
        <tr r="AI101" s="3"/>
      </tp>
      <tp t="e">
        <v>#N/A</v>
        <stp/>
        <stp>STREAM:AppOut</stp>
        <stp>FIELD:TradeDate</stp>
        <stp>TUPLENUM:98</stp>
        <tr r="AI100" s="3"/>
      </tp>
      <tp t="e">
        <v>#N/A</v>
        <stp/>
        <stp>STREAM:AppOut</stp>
        <stp>FIELD:TradeDate</stp>
        <stp>TUPLENUM:47</stp>
        <tr r="AI49" s="3"/>
      </tp>
      <tp t="e">
        <v>#N/A</v>
        <stp/>
        <stp>STREAM:AppOut</stp>
        <stp>FIELD:TradeDate</stp>
        <stp>TUPLENUM:46</stp>
        <tr r="AI48" s="3"/>
      </tp>
      <tp t="e">
        <v>#N/A</v>
        <stp/>
        <stp>STREAM:AppOut</stp>
        <stp>FIELD:TradeDate</stp>
        <stp>TUPLENUM:45</stp>
        <tr r="AI47" s="3"/>
      </tp>
      <tp t="e">
        <v>#N/A</v>
        <stp/>
        <stp>STREAM:AppOut</stp>
        <stp>FIELD:TradeDate</stp>
        <stp>TUPLENUM:44</stp>
        <tr r="AI46" s="3"/>
      </tp>
      <tp t="e">
        <v>#N/A</v>
        <stp/>
        <stp>STREAM:AppOut</stp>
        <stp>FIELD:TradeDate</stp>
        <stp>TUPLENUM:43</stp>
        <tr r="AI45" s="3"/>
      </tp>
      <tp t="e">
        <v>#N/A</v>
        <stp/>
        <stp>STREAM:AppOut</stp>
        <stp>FIELD:TradeDate</stp>
        <stp>TUPLENUM:42</stp>
        <tr r="AI44" s="3"/>
      </tp>
      <tp t="e">
        <v>#N/A</v>
        <stp/>
        <stp>STREAM:AppOut</stp>
        <stp>FIELD:TradeDate</stp>
        <stp>TUPLENUM:41</stp>
        <tr r="AI43" s="3"/>
      </tp>
      <tp t="e">
        <v>#N/A</v>
        <stp/>
        <stp>STREAM:AppOut</stp>
        <stp>FIELD:TradeDate</stp>
        <stp>TUPLENUM:40</stp>
        <tr r="AI42" s="3"/>
      </tp>
      <tp t="e">
        <v>#N/A</v>
        <stp/>
        <stp>STREAM:AppOut</stp>
        <stp>FIELD:TradeDate</stp>
        <stp>TUPLENUM:49</stp>
        <tr r="AI51" s="3"/>
      </tp>
      <tp t="e">
        <v>#N/A</v>
        <stp/>
        <stp>STREAM:AppOut</stp>
        <stp>FIELD:TradeDate</stp>
        <stp>TUPLENUM:48</stp>
        <tr r="AI50" s="3"/>
      </tp>
      <tp t="e">
        <v>#N/A</v>
        <stp/>
        <stp>STREAM:AppOut</stp>
        <stp>FIELD:TradeDate</stp>
        <stp>TUPLENUM:57</stp>
        <tr r="AI59" s="3"/>
      </tp>
      <tp t="e">
        <v>#N/A</v>
        <stp/>
        <stp>STREAM:AppOut</stp>
        <stp>FIELD:TradeDate</stp>
        <stp>TUPLENUM:56</stp>
        <tr r="AI58" s="3"/>
      </tp>
      <tp t="e">
        <v>#N/A</v>
        <stp/>
        <stp>STREAM:AppOut</stp>
        <stp>FIELD:TradeDate</stp>
        <stp>TUPLENUM:55</stp>
        <tr r="AI57" s="3"/>
      </tp>
      <tp t="e">
        <v>#N/A</v>
        <stp/>
        <stp>STREAM:AppOut</stp>
        <stp>FIELD:TradeDate</stp>
        <stp>TUPLENUM:54</stp>
        <tr r="AI56" s="3"/>
      </tp>
      <tp t="e">
        <v>#N/A</v>
        <stp/>
        <stp>STREAM:AppOut</stp>
        <stp>FIELD:TradeDate</stp>
        <stp>TUPLENUM:53</stp>
        <tr r="AI55" s="3"/>
      </tp>
      <tp t="e">
        <v>#N/A</v>
        <stp/>
        <stp>STREAM:AppOut</stp>
        <stp>FIELD:TradeDate</stp>
        <stp>TUPLENUM:52</stp>
        <tr r="AI54" s="3"/>
      </tp>
      <tp t="e">
        <v>#N/A</v>
        <stp/>
        <stp>STREAM:AppOut</stp>
        <stp>FIELD:TradeDate</stp>
        <stp>TUPLENUM:51</stp>
        <tr r="AI53" s="3"/>
      </tp>
      <tp t="e">
        <v>#N/A</v>
        <stp/>
        <stp>STREAM:AppOut</stp>
        <stp>FIELD:TradeDate</stp>
        <stp>TUPLENUM:50</stp>
        <tr r="AI52" s="3"/>
      </tp>
      <tp t="e">
        <v>#N/A</v>
        <stp/>
        <stp>STREAM:AppOut</stp>
        <stp>FIELD:TradeDate</stp>
        <stp>TUPLENUM:59</stp>
        <tr r="AI61" s="3"/>
      </tp>
      <tp t="e">
        <v>#N/A</v>
        <stp/>
        <stp>STREAM:AppOut</stp>
        <stp>FIELD:TradeDate</stp>
        <stp>TUPLENUM:58</stp>
        <tr r="AI60" s="3"/>
      </tp>
      <tp t="e">
        <v>#N/A</v>
        <stp/>
        <stp>STREAM:AppOut</stp>
        <stp>FIELD:TradeDate</stp>
        <stp>TUPLENUM:67</stp>
        <tr r="AI69" s="3"/>
      </tp>
      <tp t="e">
        <v>#N/A</v>
        <stp/>
        <stp>STREAM:AppOut</stp>
        <stp>FIELD:TradeDate</stp>
        <stp>TUPLENUM:66</stp>
        <tr r="AI68" s="3"/>
      </tp>
      <tp t="e">
        <v>#N/A</v>
        <stp/>
        <stp>STREAM:AppOut</stp>
        <stp>FIELD:TradeDate</stp>
        <stp>TUPLENUM:65</stp>
        <tr r="AI67" s="3"/>
      </tp>
      <tp t="e">
        <v>#N/A</v>
        <stp/>
        <stp>STREAM:AppOut</stp>
        <stp>FIELD:TradeDate</stp>
        <stp>TUPLENUM:64</stp>
        <tr r="AI66" s="3"/>
      </tp>
      <tp t="e">
        <v>#N/A</v>
        <stp/>
        <stp>STREAM:AppOut</stp>
        <stp>FIELD:TradeDate</stp>
        <stp>TUPLENUM:63</stp>
        <tr r="AI65" s="3"/>
      </tp>
      <tp t="e">
        <v>#N/A</v>
        <stp/>
        <stp>STREAM:AppOut</stp>
        <stp>FIELD:TradeDate</stp>
        <stp>TUPLENUM:62</stp>
        <tr r="AI64" s="3"/>
      </tp>
      <tp t="e">
        <v>#N/A</v>
        <stp/>
        <stp>STREAM:AppOut</stp>
        <stp>FIELD:TradeDate</stp>
        <stp>TUPLENUM:61</stp>
        <tr r="AI63" s="3"/>
      </tp>
      <tp t="e">
        <v>#N/A</v>
        <stp/>
        <stp>STREAM:AppOut</stp>
        <stp>FIELD:TradeDate</stp>
        <stp>TUPLENUM:60</stp>
        <tr r="AI62" s="3"/>
      </tp>
      <tp t="e">
        <v>#N/A</v>
        <stp/>
        <stp>STREAM:AppOut</stp>
        <stp>FIELD:TradeDate</stp>
        <stp>TUPLENUM:69</stp>
        <tr r="AI71" s="3"/>
      </tp>
      <tp t="e">
        <v>#N/A</v>
        <stp/>
        <stp>STREAM:AppOut</stp>
        <stp>FIELD:TradeDate</stp>
        <stp>TUPLENUM:68</stp>
        <tr r="AI70" s="3"/>
      </tp>
      <tp t="e">
        <v>#N/A</v>
        <stp/>
        <stp>STREAM:AppOut</stp>
        <stp>FIELD:TradeDate</stp>
        <stp>TUPLENUM:77</stp>
        <tr r="AI79" s="3"/>
      </tp>
      <tp t="e">
        <v>#N/A</v>
        <stp/>
        <stp>STREAM:AppOut</stp>
        <stp>FIELD:TradeDate</stp>
        <stp>TUPLENUM:76</stp>
        <tr r="AI78" s="3"/>
      </tp>
      <tp t="e">
        <v>#N/A</v>
        <stp/>
        <stp>STREAM:AppOut</stp>
        <stp>FIELD:TradeDate</stp>
        <stp>TUPLENUM:75</stp>
        <tr r="AI77" s="3"/>
      </tp>
      <tp t="e">
        <v>#N/A</v>
        <stp/>
        <stp>STREAM:AppOut</stp>
        <stp>FIELD:TradeDate</stp>
        <stp>TUPLENUM:74</stp>
        <tr r="AI76" s="3"/>
      </tp>
      <tp t="e">
        <v>#N/A</v>
        <stp/>
        <stp>STREAM:AppOut</stp>
        <stp>FIELD:TradeDate</stp>
        <stp>TUPLENUM:73</stp>
        <tr r="AI75" s="3"/>
      </tp>
      <tp t="e">
        <v>#N/A</v>
        <stp/>
        <stp>STREAM:AppOut</stp>
        <stp>FIELD:TradeDate</stp>
        <stp>TUPLENUM:72</stp>
        <tr r="AI74" s="3"/>
      </tp>
      <tp t="e">
        <v>#N/A</v>
        <stp/>
        <stp>STREAM:AppOut</stp>
        <stp>FIELD:TradeDate</stp>
        <stp>TUPLENUM:71</stp>
        <tr r="AI73" s="3"/>
      </tp>
      <tp t="e">
        <v>#N/A</v>
        <stp/>
        <stp>STREAM:AppOut</stp>
        <stp>FIELD:TradeDate</stp>
        <stp>TUPLENUM:70</stp>
        <tr r="AI72" s="3"/>
      </tp>
      <tp t="e">
        <v>#N/A</v>
        <stp/>
        <stp>STREAM:AppOut</stp>
        <stp>FIELD:TradeDate</stp>
        <stp>TUPLENUM:79</stp>
        <tr r="AI81" s="3"/>
      </tp>
      <tp t="e">
        <v>#N/A</v>
        <stp/>
        <stp>STREAM:AppOut</stp>
        <stp>FIELD:TradeDate</stp>
        <stp>TUPLENUM:78</stp>
        <tr r="AI80" s="3"/>
      </tp>
      <tp t="e">
        <v>#N/A</v>
        <stp/>
        <stp>STREAM:AppOut</stp>
        <stp>FIELD:TradeDate</stp>
        <stp>TUPLENUM:17</stp>
        <tr r="AI19" s="3"/>
      </tp>
      <tp t="e">
        <v>#N/A</v>
        <stp/>
        <stp>STREAM:AppOut</stp>
        <stp>FIELD:TradeDate</stp>
        <stp>TUPLENUM:16</stp>
        <tr r="AI18" s="3"/>
      </tp>
      <tp t="e">
        <v>#N/A</v>
        <stp/>
        <stp>STREAM:AppOut</stp>
        <stp>FIELD:TradeDate</stp>
        <stp>TUPLENUM:15</stp>
        <tr r="AI17" s="3"/>
      </tp>
      <tp t="e">
        <v>#N/A</v>
        <stp/>
        <stp>STREAM:AppOut</stp>
        <stp>FIELD:TradeDate</stp>
        <stp>TUPLENUM:14</stp>
        <tr r="AI16" s="3"/>
      </tp>
      <tp t="e">
        <v>#N/A</v>
        <stp/>
        <stp>STREAM:AppOut</stp>
        <stp>FIELD:TradeDate</stp>
        <stp>TUPLENUM:13</stp>
        <tr r="AI15" s="3"/>
      </tp>
      <tp t="e">
        <v>#N/A</v>
        <stp/>
        <stp>STREAM:AppOut</stp>
        <stp>FIELD:TradeDate</stp>
        <stp>TUPLENUM:12</stp>
        <tr r="AI14" s="3"/>
      </tp>
      <tp t="e">
        <v>#N/A</v>
        <stp/>
        <stp>STREAM:AppOut</stp>
        <stp>FIELD:TradeDate</stp>
        <stp>TUPLENUM:11</stp>
        <tr r="AI13" s="3"/>
      </tp>
      <tp t="e">
        <v>#N/A</v>
        <stp/>
        <stp>STREAM:AppOut</stp>
        <stp>FIELD:TradeDate</stp>
        <stp>TUPLENUM:10</stp>
        <tr r="AI12" s="3"/>
      </tp>
      <tp t="e">
        <v>#N/A</v>
        <stp/>
        <stp>STREAM:AppOut</stp>
        <stp>FIELD:TradeDate</stp>
        <stp>TUPLENUM:19</stp>
        <tr r="AI21" s="3"/>
      </tp>
      <tp t="e">
        <v>#N/A</v>
        <stp/>
        <stp>STREAM:AppOut</stp>
        <stp>FIELD:TradeDate</stp>
        <stp>TUPLENUM:18</stp>
        <tr r="AI20" s="3"/>
      </tp>
      <tp t="e">
        <v>#N/A</v>
        <stp/>
        <stp>STREAM:AppOut</stp>
        <stp>FIELD:TradeDate</stp>
        <stp>TUPLENUM:27</stp>
        <tr r="AI29" s="3"/>
      </tp>
      <tp t="e">
        <v>#N/A</v>
        <stp/>
        <stp>STREAM:AppOut</stp>
        <stp>FIELD:TradeDate</stp>
        <stp>TUPLENUM:26</stp>
        <tr r="AI28" s="3"/>
      </tp>
      <tp t="e">
        <v>#N/A</v>
        <stp/>
        <stp>STREAM:AppOut</stp>
        <stp>FIELD:TradeDate</stp>
        <stp>TUPLENUM:25</stp>
        <tr r="AI27" s="3"/>
      </tp>
      <tp t="e">
        <v>#N/A</v>
        <stp/>
        <stp>STREAM:AppOut</stp>
        <stp>FIELD:TradeDate</stp>
        <stp>TUPLENUM:24</stp>
        <tr r="AI26" s="3"/>
      </tp>
      <tp t="e">
        <v>#N/A</v>
        <stp/>
        <stp>STREAM:AppOut</stp>
        <stp>FIELD:TradeDate</stp>
        <stp>TUPLENUM:23</stp>
        <tr r="AI25" s="3"/>
      </tp>
      <tp t="e">
        <v>#N/A</v>
        <stp/>
        <stp>STREAM:AppOut</stp>
        <stp>FIELD:TradeDate</stp>
        <stp>TUPLENUM:22</stp>
        <tr r="AI24" s="3"/>
      </tp>
      <tp t="e">
        <v>#N/A</v>
        <stp/>
        <stp>STREAM:AppOut</stp>
        <stp>FIELD:TradeDate</stp>
        <stp>TUPLENUM:21</stp>
        <tr r="AI23" s="3"/>
      </tp>
      <tp t="e">
        <v>#N/A</v>
        <stp/>
        <stp>STREAM:AppOut</stp>
        <stp>FIELD:TradeDate</stp>
        <stp>TUPLENUM:20</stp>
        <tr r="AI22" s="3"/>
      </tp>
      <tp t="e">
        <v>#N/A</v>
        <stp/>
        <stp>STREAM:AppOut</stp>
        <stp>FIELD:TradeDate</stp>
        <stp>TUPLENUM:29</stp>
        <tr r="AI31" s="3"/>
      </tp>
      <tp t="e">
        <v>#N/A</v>
        <stp/>
        <stp>STREAM:AppOut</stp>
        <stp>FIELD:TradeDate</stp>
        <stp>TUPLENUM:28</stp>
        <tr r="AI30" s="3"/>
      </tp>
      <tp t="e">
        <v>#N/A</v>
        <stp/>
        <stp>STREAM:AppOut</stp>
        <stp>FIELD:TradeDate</stp>
        <stp>TUPLENUM:37</stp>
        <tr r="AI39" s="3"/>
      </tp>
      <tp t="e">
        <v>#N/A</v>
        <stp/>
        <stp>STREAM:AppOut</stp>
        <stp>FIELD:TradeDate</stp>
        <stp>TUPLENUM:36</stp>
        <tr r="AI38" s="3"/>
      </tp>
      <tp t="e">
        <v>#N/A</v>
        <stp/>
        <stp>STREAM:AppOut</stp>
        <stp>FIELD:TradeDate</stp>
        <stp>TUPLENUM:35</stp>
        <tr r="AI37" s="3"/>
      </tp>
      <tp t="e">
        <v>#N/A</v>
        <stp/>
        <stp>STREAM:AppOut</stp>
        <stp>FIELD:TradeDate</stp>
        <stp>TUPLENUM:34</stp>
        <tr r="AI36" s="3"/>
      </tp>
      <tp t="e">
        <v>#N/A</v>
        <stp/>
        <stp>STREAM:AppOut</stp>
        <stp>FIELD:TradeDate</stp>
        <stp>TUPLENUM:33</stp>
        <tr r="AI35" s="3"/>
      </tp>
      <tp t="e">
        <v>#N/A</v>
        <stp/>
        <stp>STREAM:AppOut</stp>
        <stp>FIELD:TradeDate</stp>
        <stp>TUPLENUM:32</stp>
        <tr r="AI34" s="3"/>
      </tp>
      <tp t="e">
        <v>#N/A</v>
        <stp/>
        <stp>STREAM:AppOut</stp>
        <stp>FIELD:TradeDate</stp>
        <stp>TUPLENUM:31</stp>
        <tr r="AI33" s="3"/>
      </tp>
      <tp t="e">
        <v>#N/A</v>
        <stp/>
        <stp>STREAM:AppOut</stp>
        <stp>FIELD:TradeDate</stp>
        <stp>TUPLENUM:30</stp>
        <tr r="AI32" s="3"/>
      </tp>
      <tp t="e">
        <v>#N/A</v>
        <stp/>
        <stp>STREAM:AppOut</stp>
        <stp>FIELD:TradeDate</stp>
        <stp>TUPLENUM:39</stp>
        <tr r="AI41" s="3"/>
      </tp>
      <tp t="e">
        <v>#N/A</v>
        <stp/>
        <stp>STREAM:AppOut</stp>
        <stp>FIELD:TradeDate</stp>
        <stp>TUPLENUM:38</stp>
        <tr r="AI40" s="3"/>
      </tp>
      <tp t="e">
        <v>#N/A</v>
        <stp/>
        <stp>STREAM:AppOut</stp>
        <stp>FIELD:ReplacedbyReqID</stp>
        <stp>TUPLENUM:140</stp>
        <tr r="AF142" s="3"/>
      </tp>
      <tp t="e">
        <v>#N/A</v>
        <stp/>
        <stp>STREAM:AppOut</stp>
        <stp>FIELD:ReplacedbyReqID</stp>
        <stp>TUPLENUM:117</stp>
        <tr r="AF119" s="3"/>
      </tp>
      <tp t="e">
        <v>#N/A</v>
        <stp/>
        <stp>STREAM:AppOut</stp>
        <stp>FIELD:ReplacedbyReqID</stp>
        <stp>TUPLENUM:116</stp>
        <tr r="AF118" s="3"/>
      </tp>
      <tp t="e">
        <v>#N/A</v>
        <stp/>
        <stp>STREAM:AppOut</stp>
        <stp>FIELD:ReplacedbyReqID</stp>
        <stp>TUPLENUM:115</stp>
        <tr r="AF117" s="3"/>
      </tp>
      <tp t="e">
        <v>#N/A</v>
        <stp/>
        <stp>STREAM:AppOut</stp>
        <stp>FIELD:ReplacedbyReqID</stp>
        <stp>TUPLENUM:114</stp>
        <tr r="AF116" s="3"/>
      </tp>
      <tp t="e">
        <v>#N/A</v>
        <stp/>
        <stp>STREAM:AppOut</stp>
        <stp>FIELD:ReplacedbyReqID</stp>
        <stp>TUPLENUM:113</stp>
        <tr r="AF115" s="3"/>
      </tp>
      <tp t="e">
        <v>#N/A</v>
        <stp/>
        <stp>STREAM:AppOut</stp>
        <stp>FIELD:ReplacedbyReqID</stp>
        <stp>TUPLENUM:112</stp>
        <tr r="AF114" s="3"/>
      </tp>
      <tp t="e">
        <v>#N/A</v>
        <stp/>
        <stp>STREAM:AppOut</stp>
        <stp>FIELD:ReplacedbyReqID</stp>
        <stp>TUPLENUM:111</stp>
        <tr r="AF113" s="3"/>
      </tp>
      <tp t="e">
        <v>#N/A</v>
        <stp/>
        <stp>STREAM:AppOut</stp>
        <stp>FIELD:ReplacedbyReqID</stp>
        <stp>TUPLENUM:110</stp>
        <tr r="AF112" s="3"/>
      </tp>
      <tp t="e">
        <v>#N/A</v>
        <stp/>
        <stp>STREAM:AppOut</stp>
        <stp>FIELD:ReplacedbyReqID</stp>
        <stp>TUPLENUM:119</stp>
        <tr r="AF121" s="3"/>
      </tp>
      <tp t="e">
        <v>#N/A</v>
        <stp/>
        <stp>STREAM:AppOut</stp>
        <stp>FIELD:ReplacedbyReqID</stp>
        <stp>TUPLENUM:118</stp>
        <tr r="AF120" s="3"/>
      </tp>
      <tp t="e">
        <v>#N/A</v>
        <stp/>
        <stp>STREAM:AppOut</stp>
        <stp>FIELD:ReplacedbyReqID</stp>
        <stp>TUPLENUM:107</stp>
        <tr r="AF109" s="3"/>
      </tp>
      <tp t="e">
        <v>#N/A</v>
        <stp/>
        <stp>STREAM:AppOut</stp>
        <stp>FIELD:ReplacedbyReqID</stp>
        <stp>TUPLENUM:106</stp>
        <tr r="AF108" s="3"/>
      </tp>
      <tp t="e">
        <v>#N/A</v>
        <stp/>
        <stp>STREAM:AppOut</stp>
        <stp>FIELD:ReplacedbyReqID</stp>
        <stp>TUPLENUM:105</stp>
        <tr r="AF107" s="3"/>
      </tp>
      <tp t="e">
        <v>#N/A</v>
        <stp/>
        <stp>STREAM:AppOut</stp>
        <stp>FIELD:ReplacedbyReqID</stp>
        <stp>TUPLENUM:104</stp>
        <tr r="AF106" s="3"/>
      </tp>
      <tp t="e">
        <v>#N/A</v>
        <stp/>
        <stp>STREAM:AppOut</stp>
        <stp>FIELD:ReplacedbyReqID</stp>
        <stp>TUPLENUM:103</stp>
        <tr r="AF105" s="3"/>
      </tp>
      <tp t="e">
        <v>#N/A</v>
        <stp/>
        <stp>STREAM:AppOut</stp>
        <stp>FIELD:ReplacedbyReqID</stp>
        <stp>TUPLENUM:102</stp>
        <tr r="AF104" s="3"/>
      </tp>
      <tp t="e">
        <v>#N/A</v>
        <stp/>
        <stp>STREAM:AppOut</stp>
        <stp>FIELD:ReplacedbyReqID</stp>
        <stp>TUPLENUM:101</stp>
        <tr r="AF103" s="3"/>
      </tp>
      <tp t="e">
        <v>#N/A</v>
        <stp/>
        <stp>STREAM:AppOut</stp>
        <stp>FIELD:ReplacedbyReqID</stp>
        <stp>TUPLENUM:100</stp>
        <tr r="AF102" s="3"/>
      </tp>
      <tp t="e">
        <v>#N/A</v>
        <stp/>
        <stp>STREAM:AppOut</stp>
        <stp>FIELD:ReplacedbyReqID</stp>
        <stp>TUPLENUM:109</stp>
        <tr r="AF111" s="3"/>
      </tp>
      <tp t="e">
        <v>#N/A</v>
        <stp/>
        <stp>STREAM:AppOut</stp>
        <stp>FIELD:ReplacedbyReqID</stp>
        <stp>TUPLENUM:108</stp>
        <tr r="AF110" s="3"/>
      </tp>
      <tp t="e">
        <v>#N/A</v>
        <stp/>
        <stp>STREAM:AppOut</stp>
        <stp>FIELD:ReplacedbyReqID</stp>
        <stp>TUPLENUM:137</stp>
        <tr r="AF139" s="3"/>
      </tp>
      <tp t="e">
        <v>#N/A</v>
        <stp/>
        <stp>STREAM:AppOut</stp>
        <stp>FIELD:ReplacedbyReqID</stp>
        <stp>TUPLENUM:136</stp>
        <tr r="AF138" s="3"/>
      </tp>
      <tp t="e">
        <v>#N/A</v>
        <stp/>
        <stp>STREAM:AppOut</stp>
        <stp>FIELD:ReplacedbyReqID</stp>
        <stp>TUPLENUM:135</stp>
        <tr r="AF137" s="3"/>
      </tp>
      <tp t="e">
        <v>#N/A</v>
        <stp/>
        <stp>STREAM:AppOut</stp>
        <stp>FIELD:ReplacedbyReqID</stp>
        <stp>TUPLENUM:134</stp>
        <tr r="AF136" s="3"/>
      </tp>
      <tp t="e">
        <v>#N/A</v>
        <stp/>
        <stp>STREAM:AppOut</stp>
        <stp>FIELD:ReplacedbyReqID</stp>
        <stp>TUPLENUM:133</stp>
        <tr r="AF135" s="3"/>
      </tp>
      <tp t="e">
        <v>#N/A</v>
        <stp/>
        <stp>STREAM:AppOut</stp>
        <stp>FIELD:ReplacedbyReqID</stp>
        <stp>TUPLENUM:132</stp>
        <tr r="AF134" s="3"/>
      </tp>
      <tp t="e">
        <v>#N/A</v>
        <stp/>
        <stp>STREAM:AppOut</stp>
        <stp>FIELD:ReplacedbyReqID</stp>
        <stp>TUPLENUM:131</stp>
        <tr r="AF133" s="3"/>
      </tp>
      <tp t="e">
        <v>#N/A</v>
        <stp/>
        <stp>STREAM:AppOut</stp>
        <stp>FIELD:ReplacedbyReqID</stp>
        <stp>TUPLENUM:130</stp>
        <tr r="AF132" s="3"/>
      </tp>
      <tp t="e">
        <v>#N/A</v>
        <stp/>
        <stp>STREAM:AppOut</stp>
        <stp>FIELD:ReplacedbyReqID</stp>
        <stp>TUPLENUM:139</stp>
        <tr r="AF141" s="3"/>
      </tp>
      <tp t="e">
        <v>#N/A</v>
        <stp/>
        <stp>STREAM:AppOut</stp>
        <stp>FIELD:ReplacedbyReqID</stp>
        <stp>TUPLENUM:138</stp>
        <tr r="AF140" s="3"/>
      </tp>
      <tp t="e">
        <v>#N/A</v>
        <stp/>
        <stp>STREAM:AppOut</stp>
        <stp>FIELD:ReplacedbyReqID</stp>
        <stp>TUPLENUM:127</stp>
        <tr r="AF129" s="3"/>
      </tp>
      <tp t="e">
        <v>#N/A</v>
        <stp/>
        <stp>STREAM:AppOut</stp>
        <stp>FIELD:ReplacedbyReqID</stp>
        <stp>TUPLENUM:126</stp>
        <tr r="AF128" s="3"/>
      </tp>
      <tp t="e">
        <v>#N/A</v>
        <stp/>
        <stp>STREAM:AppOut</stp>
        <stp>FIELD:ReplacedbyReqID</stp>
        <stp>TUPLENUM:125</stp>
        <tr r="AF127" s="3"/>
      </tp>
      <tp t="e">
        <v>#N/A</v>
        <stp/>
        <stp>STREAM:AppOut</stp>
        <stp>FIELD:ReplacedbyReqID</stp>
        <stp>TUPLENUM:124</stp>
        <tr r="AF126" s="3"/>
      </tp>
      <tp t="e">
        <v>#N/A</v>
        <stp/>
        <stp>STREAM:AppOut</stp>
        <stp>FIELD:ReplacedbyReqID</stp>
        <stp>TUPLENUM:123</stp>
        <tr r="AF125" s="3"/>
      </tp>
      <tp t="e">
        <v>#N/A</v>
        <stp/>
        <stp>STREAM:AppOut</stp>
        <stp>FIELD:ReplacedbyReqID</stp>
        <stp>TUPLENUM:122</stp>
        <tr r="AF124" s="3"/>
      </tp>
      <tp t="e">
        <v>#N/A</v>
        <stp/>
        <stp>STREAM:AppOut</stp>
        <stp>FIELD:ReplacedbyReqID</stp>
        <stp>TUPLENUM:121</stp>
        <tr r="AF123" s="3"/>
      </tp>
      <tp t="e">
        <v>#N/A</v>
        <stp/>
        <stp>STREAM:AppOut</stp>
        <stp>FIELD:ReplacedbyReqID</stp>
        <stp>TUPLENUM:120</stp>
        <tr r="AF122" s="3"/>
      </tp>
      <tp t="e">
        <v>#N/A</v>
        <stp/>
        <stp>STREAM:AppOut</stp>
        <stp>FIELD:ReplacedbyReqID</stp>
        <stp>TUPLENUM:129</stp>
        <tr r="AF131" s="3"/>
      </tp>
      <tp t="e">
        <v>#N/A</v>
        <stp/>
        <stp>STREAM:AppOut</stp>
        <stp>FIELD:ReplacedbyReqID</stp>
        <stp>TUPLENUM:128</stp>
        <tr r="AF130" s="3"/>
      </tp>
      <tp t="e">
        <v>#N/A</v>
        <stp/>
        <stp>STREAM:AppOut</stp>
        <stp>FIELD:AppCxlRplID</stp>
        <stp>TUPLENUM:28</stp>
        <tr r="V30" s="3"/>
      </tp>
      <tp t="e">
        <v>#N/A</v>
        <stp/>
        <stp>STREAM:AppOut</stp>
        <stp>FIELD:AppCxlRplID</stp>
        <stp>TUPLENUM:29</stp>
        <tr r="V31" s="3"/>
      </tp>
      <tp t="e">
        <v>#N/A</v>
        <stp/>
        <stp>STREAM:AppOut</stp>
        <stp>FIELD:AppCxlRplID</stp>
        <stp>TUPLENUM:20</stp>
        <tr r="V22" s="3"/>
      </tp>
      <tp t="e">
        <v>#N/A</v>
        <stp/>
        <stp>STREAM:AppOut</stp>
        <stp>FIELD:AppCxlRplID</stp>
        <stp>TUPLENUM:21</stp>
        <tr r="V23" s="3"/>
      </tp>
      <tp t="e">
        <v>#N/A</v>
        <stp/>
        <stp>STREAM:AppOut</stp>
        <stp>FIELD:AppCxlRplID</stp>
        <stp>TUPLENUM:22</stp>
        <tr r="V24" s="3"/>
      </tp>
      <tp t="e">
        <v>#N/A</v>
        <stp/>
        <stp>STREAM:AppOut</stp>
        <stp>FIELD:AppCxlRplID</stp>
        <stp>TUPLENUM:23</stp>
        <tr r="V25" s="3"/>
      </tp>
      <tp t="e">
        <v>#N/A</v>
        <stp/>
        <stp>STREAM:AppOut</stp>
        <stp>FIELD:AppCxlRplID</stp>
        <stp>TUPLENUM:24</stp>
        <tr r="V26" s="3"/>
      </tp>
      <tp t="e">
        <v>#N/A</v>
        <stp/>
        <stp>STREAM:AppOut</stp>
        <stp>FIELD:AppCxlRplID</stp>
        <stp>TUPLENUM:25</stp>
        <tr r="V27" s="3"/>
      </tp>
      <tp t="e">
        <v>#N/A</v>
        <stp/>
        <stp>STREAM:AppOut</stp>
        <stp>FIELD:AppCxlRplID</stp>
        <stp>TUPLENUM:26</stp>
        <tr r="V28" s="3"/>
      </tp>
      <tp t="e">
        <v>#N/A</v>
        <stp/>
        <stp>STREAM:AppOut</stp>
        <stp>FIELD:AppCxlRplID</stp>
        <stp>TUPLENUM:27</stp>
        <tr r="V29" s="3"/>
      </tp>
      <tp t="e">
        <v>#N/A</v>
        <stp/>
        <stp>STREAM:AppOut</stp>
        <stp>FIELD:AppCxlRplID</stp>
        <stp>TUPLENUM:38</stp>
        <tr r="V40" s="3"/>
      </tp>
      <tp t="e">
        <v>#N/A</v>
        <stp/>
        <stp>STREAM:AppOut</stp>
        <stp>FIELD:AppCxlRplID</stp>
        <stp>TUPLENUM:39</stp>
        <tr r="V41" s="3"/>
      </tp>
      <tp t="e">
        <v>#N/A</v>
        <stp/>
        <stp>STREAM:AppOut</stp>
        <stp>FIELD:AppCxlRplID</stp>
        <stp>TUPLENUM:30</stp>
        <tr r="V32" s="3"/>
      </tp>
      <tp t="e">
        <v>#N/A</v>
        <stp/>
        <stp>STREAM:AppOut</stp>
        <stp>FIELD:AppCxlRplID</stp>
        <stp>TUPLENUM:31</stp>
        <tr r="V33" s="3"/>
      </tp>
      <tp t="e">
        <v>#N/A</v>
        <stp/>
        <stp>STREAM:AppOut</stp>
        <stp>FIELD:AppCxlRplID</stp>
        <stp>TUPLENUM:32</stp>
        <tr r="V34" s="3"/>
      </tp>
      <tp t="e">
        <v>#N/A</v>
        <stp/>
        <stp>STREAM:AppOut</stp>
        <stp>FIELD:AppCxlRplID</stp>
        <stp>TUPLENUM:33</stp>
        <tr r="V35" s="3"/>
      </tp>
      <tp t="e">
        <v>#N/A</v>
        <stp/>
        <stp>STREAM:AppOut</stp>
        <stp>FIELD:AppCxlRplID</stp>
        <stp>TUPLENUM:34</stp>
        <tr r="V36" s="3"/>
      </tp>
      <tp t="e">
        <v>#N/A</v>
        <stp/>
        <stp>STREAM:AppOut</stp>
        <stp>FIELD:AppCxlRplID</stp>
        <stp>TUPLENUM:35</stp>
        <tr r="V37" s="3"/>
      </tp>
      <tp t="e">
        <v>#N/A</v>
        <stp/>
        <stp>STREAM:AppOut</stp>
        <stp>FIELD:AppCxlRplID</stp>
        <stp>TUPLENUM:36</stp>
        <tr r="V38" s="3"/>
      </tp>
      <tp t="e">
        <v>#N/A</v>
        <stp/>
        <stp>STREAM:AppOut</stp>
        <stp>FIELD:AppCxlRplID</stp>
        <stp>TUPLENUM:37</stp>
        <tr r="V39" s="3"/>
      </tp>
      <tp t="e">
        <v>#N/A</v>
        <stp/>
        <stp>STREAM:AppOut</stp>
        <stp>FIELD:AppCxlRplID</stp>
        <stp>TUPLENUM:18</stp>
        <tr r="V20" s="3"/>
      </tp>
      <tp t="e">
        <v>#N/A</v>
        <stp/>
        <stp>STREAM:AppOut</stp>
        <stp>FIELD:AppCxlRplID</stp>
        <stp>TUPLENUM:19</stp>
        <tr r="V21" s="3"/>
      </tp>
      <tp t="e">
        <v>#N/A</v>
        <stp/>
        <stp>STREAM:AppOut</stp>
        <stp>FIELD:AppCxlRplID</stp>
        <stp>TUPLENUM:10</stp>
        <tr r="V12" s="3"/>
      </tp>
      <tp t="e">
        <v>#N/A</v>
        <stp/>
        <stp>STREAM:AppOut</stp>
        <stp>FIELD:AppCxlRplID</stp>
        <stp>TUPLENUM:11</stp>
        <tr r="V13" s="3"/>
      </tp>
      <tp t="e">
        <v>#N/A</v>
        <stp/>
        <stp>STREAM:AppOut</stp>
        <stp>FIELD:AppCxlRplID</stp>
        <stp>TUPLENUM:12</stp>
        <tr r="V14" s="3"/>
      </tp>
      <tp t="e">
        <v>#N/A</v>
        <stp/>
        <stp>STREAM:AppOut</stp>
        <stp>FIELD:AppCxlRplID</stp>
        <stp>TUPLENUM:13</stp>
        <tr r="V15" s="3"/>
      </tp>
      <tp t="e">
        <v>#N/A</v>
        <stp/>
        <stp>STREAM:AppOut</stp>
        <stp>FIELD:AppCxlRplID</stp>
        <stp>TUPLENUM:14</stp>
        <tr r="V16" s="3"/>
      </tp>
      <tp t="e">
        <v>#N/A</v>
        <stp/>
        <stp>STREAM:AppOut</stp>
        <stp>FIELD:AppCxlRplID</stp>
        <stp>TUPLENUM:15</stp>
        <tr r="V17" s="3"/>
      </tp>
      <tp t="e">
        <v>#N/A</v>
        <stp/>
        <stp>STREAM:AppOut</stp>
        <stp>FIELD:AppCxlRplID</stp>
        <stp>TUPLENUM:16</stp>
        <tr r="V18" s="3"/>
      </tp>
      <tp t="e">
        <v>#N/A</v>
        <stp/>
        <stp>STREAM:AppOut</stp>
        <stp>FIELD:AppCxlRplID</stp>
        <stp>TUPLENUM:17</stp>
        <tr r="V19" s="3"/>
      </tp>
      <tp t="e">
        <v>#N/A</v>
        <stp/>
        <stp>STREAM:AppOut</stp>
        <stp>FIELD:AppCxlRplID</stp>
        <stp>TUPLENUM:68</stp>
        <tr r="V70" s="3"/>
      </tp>
      <tp t="e">
        <v>#N/A</v>
        <stp/>
        <stp>STREAM:AppOut</stp>
        <stp>FIELD:AppCxlRplID</stp>
        <stp>TUPLENUM:69</stp>
        <tr r="V71" s="3"/>
      </tp>
      <tp t="e">
        <v>#N/A</v>
        <stp/>
        <stp>STREAM:AppOut</stp>
        <stp>FIELD:AppCxlRplID</stp>
        <stp>TUPLENUM:60</stp>
        <tr r="V62" s="3"/>
      </tp>
      <tp t="e">
        <v>#N/A</v>
        <stp/>
        <stp>STREAM:AppOut</stp>
        <stp>FIELD:AppCxlRplID</stp>
        <stp>TUPLENUM:61</stp>
        <tr r="V63" s="3"/>
      </tp>
      <tp t="e">
        <v>#N/A</v>
        <stp/>
        <stp>STREAM:AppOut</stp>
        <stp>FIELD:AppCxlRplID</stp>
        <stp>TUPLENUM:62</stp>
        <tr r="V64" s="3"/>
      </tp>
      <tp t="e">
        <v>#N/A</v>
        <stp/>
        <stp>STREAM:AppOut</stp>
        <stp>FIELD:AppCxlRplID</stp>
        <stp>TUPLENUM:63</stp>
        <tr r="V65" s="3"/>
      </tp>
      <tp t="e">
        <v>#N/A</v>
        <stp/>
        <stp>STREAM:AppOut</stp>
        <stp>FIELD:AppCxlRplID</stp>
        <stp>TUPLENUM:64</stp>
        <tr r="V66" s="3"/>
      </tp>
      <tp t="e">
        <v>#N/A</v>
        <stp/>
        <stp>STREAM:AppOut</stp>
        <stp>FIELD:AppCxlRplID</stp>
        <stp>TUPLENUM:65</stp>
        <tr r="V67" s="3"/>
      </tp>
      <tp t="e">
        <v>#N/A</v>
        <stp/>
        <stp>STREAM:AppOut</stp>
        <stp>FIELD:AppCxlRplID</stp>
        <stp>TUPLENUM:66</stp>
        <tr r="V68" s="3"/>
      </tp>
      <tp t="e">
        <v>#N/A</v>
        <stp/>
        <stp>STREAM:AppOut</stp>
        <stp>FIELD:AppCxlRplID</stp>
        <stp>TUPLENUM:67</stp>
        <tr r="V69" s="3"/>
      </tp>
      <tp t="e">
        <v>#N/A</v>
        <stp/>
        <stp>STREAM:AppOut</stp>
        <stp>FIELD:AppCxlRplID</stp>
        <stp>TUPLENUM:78</stp>
        <tr r="V80" s="3"/>
      </tp>
      <tp t="e">
        <v>#N/A</v>
        <stp/>
        <stp>STREAM:AppOut</stp>
        <stp>FIELD:AppCxlRplID</stp>
        <stp>TUPLENUM:79</stp>
        <tr r="V81" s="3"/>
      </tp>
      <tp t="e">
        <v>#N/A</v>
        <stp/>
        <stp>STREAM:AppOut</stp>
        <stp>FIELD:AppCxlRplID</stp>
        <stp>TUPLENUM:70</stp>
        <tr r="V72" s="3"/>
      </tp>
      <tp t="e">
        <v>#N/A</v>
        <stp/>
        <stp>STREAM:AppOut</stp>
        <stp>FIELD:AppCxlRplID</stp>
        <stp>TUPLENUM:71</stp>
        <tr r="V73" s="3"/>
      </tp>
      <tp t="e">
        <v>#N/A</v>
        <stp/>
        <stp>STREAM:AppOut</stp>
        <stp>FIELD:AppCxlRplID</stp>
        <stp>TUPLENUM:72</stp>
        <tr r="V74" s="3"/>
      </tp>
      <tp t="e">
        <v>#N/A</v>
        <stp/>
        <stp>STREAM:AppOut</stp>
        <stp>FIELD:AppCxlRplID</stp>
        <stp>TUPLENUM:73</stp>
        <tr r="V75" s="3"/>
      </tp>
      <tp t="e">
        <v>#N/A</v>
        <stp/>
        <stp>STREAM:AppOut</stp>
        <stp>FIELD:AppCxlRplID</stp>
        <stp>TUPLENUM:74</stp>
        <tr r="V76" s="3"/>
      </tp>
      <tp t="e">
        <v>#N/A</v>
        <stp/>
        <stp>STREAM:AppOut</stp>
        <stp>FIELD:AppCxlRplID</stp>
        <stp>TUPLENUM:75</stp>
        <tr r="V77" s="3"/>
      </tp>
      <tp t="e">
        <v>#N/A</v>
        <stp/>
        <stp>STREAM:AppOut</stp>
        <stp>FIELD:AppCxlRplID</stp>
        <stp>TUPLENUM:76</stp>
        <tr r="V78" s="3"/>
      </tp>
      <tp t="e">
        <v>#N/A</v>
        <stp/>
        <stp>STREAM:AppOut</stp>
        <stp>FIELD:AppCxlRplID</stp>
        <stp>TUPLENUM:77</stp>
        <tr r="V79" s="3"/>
      </tp>
      <tp t="e">
        <v>#N/A</v>
        <stp/>
        <stp>STREAM:AppOut</stp>
        <stp>FIELD:AppCxlRplID</stp>
        <stp>TUPLENUM:48</stp>
        <tr r="V50" s="3"/>
      </tp>
      <tp t="e">
        <v>#N/A</v>
        <stp/>
        <stp>STREAM:AppOut</stp>
        <stp>FIELD:AppCxlRplID</stp>
        <stp>TUPLENUM:49</stp>
        <tr r="V51" s="3"/>
      </tp>
      <tp t="e">
        <v>#N/A</v>
        <stp/>
        <stp>STREAM:AppOut</stp>
        <stp>FIELD:AppCxlRplID</stp>
        <stp>TUPLENUM:40</stp>
        <tr r="V42" s="3"/>
      </tp>
      <tp t="e">
        <v>#N/A</v>
        <stp/>
        <stp>STREAM:AppOut</stp>
        <stp>FIELD:AppCxlRplID</stp>
        <stp>TUPLENUM:41</stp>
        <tr r="V43" s="3"/>
      </tp>
      <tp t="e">
        <v>#N/A</v>
        <stp/>
        <stp>STREAM:AppOut</stp>
        <stp>FIELD:AppCxlRplID</stp>
        <stp>TUPLENUM:42</stp>
        <tr r="V44" s="3"/>
      </tp>
      <tp t="e">
        <v>#N/A</v>
        <stp/>
        <stp>STREAM:AppOut</stp>
        <stp>FIELD:AppCxlRplID</stp>
        <stp>TUPLENUM:43</stp>
        <tr r="V45" s="3"/>
      </tp>
      <tp t="e">
        <v>#N/A</v>
        <stp/>
        <stp>STREAM:AppOut</stp>
        <stp>FIELD:AppCxlRplID</stp>
        <stp>TUPLENUM:44</stp>
        <tr r="V46" s="3"/>
      </tp>
      <tp t="e">
        <v>#N/A</v>
        <stp/>
        <stp>STREAM:AppOut</stp>
        <stp>FIELD:AppCxlRplID</stp>
        <stp>TUPLENUM:45</stp>
        <tr r="V47" s="3"/>
      </tp>
      <tp t="e">
        <v>#N/A</v>
        <stp/>
        <stp>STREAM:AppOut</stp>
        <stp>FIELD:AppCxlRplID</stp>
        <stp>TUPLENUM:46</stp>
        <tr r="V48" s="3"/>
      </tp>
      <tp t="e">
        <v>#N/A</v>
        <stp/>
        <stp>STREAM:AppOut</stp>
        <stp>FIELD:AppCxlRplID</stp>
        <stp>TUPLENUM:47</stp>
        <tr r="V49" s="3"/>
      </tp>
      <tp t="e">
        <v>#N/A</v>
        <stp/>
        <stp>STREAM:AppOut</stp>
        <stp>FIELD:AppCxlRplID</stp>
        <stp>TUPLENUM:58</stp>
        <tr r="V60" s="3"/>
      </tp>
      <tp t="e">
        <v>#N/A</v>
        <stp/>
        <stp>STREAM:AppOut</stp>
        <stp>FIELD:AppCxlRplID</stp>
        <stp>TUPLENUM:59</stp>
        <tr r="V61" s="3"/>
      </tp>
      <tp t="e">
        <v>#N/A</v>
        <stp/>
        <stp>STREAM:AppOut</stp>
        <stp>FIELD:AppCxlRplID</stp>
        <stp>TUPLENUM:50</stp>
        <tr r="V52" s="3"/>
      </tp>
      <tp t="e">
        <v>#N/A</v>
        <stp/>
        <stp>STREAM:AppOut</stp>
        <stp>FIELD:AppCxlRplID</stp>
        <stp>TUPLENUM:51</stp>
        <tr r="V53" s="3"/>
      </tp>
      <tp t="e">
        <v>#N/A</v>
        <stp/>
        <stp>STREAM:AppOut</stp>
        <stp>FIELD:AppCxlRplID</stp>
        <stp>TUPLENUM:52</stp>
        <tr r="V54" s="3"/>
      </tp>
      <tp t="e">
        <v>#N/A</v>
        <stp/>
        <stp>STREAM:AppOut</stp>
        <stp>FIELD:AppCxlRplID</stp>
        <stp>TUPLENUM:53</stp>
        <tr r="V55" s="3"/>
      </tp>
      <tp t="e">
        <v>#N/A</v>
        <stp/>
        <stp>STREAM:AppOut</stp>
        <stp>FIELD:AppCxlRplID</stp>
        <stp>TUPLENUM:54</stp>
        <tr r="V56" s="3"/>
      </tp>
      <tp t="e">
        <v>#N/A</v>
        <stp/>
        <stp>STREAM:AppOut</stp>
        <stp>FIELD:AppCxlRplID</stp>
        <stp>TUPLENUM:55</stp>
        <tr r="V57" s="3"/>
      </tp>
      <tp t="e">
        <v>#N/A</v>
        <stp/>
        <stp>STREAM:AppOut</stp>
        <stp>FIELD:AppCxlRplID</stp>
        <stp>TUPLENUM:56</stp>
        <tr r="V58" s="3"/>
      </tp>
      <tp t="e">
        <v>#N/A</v>
        <stp/>
        <stp>STREAM:AppOut</stp>
        <stp>FIELD:AppCxlRplID</stp>
        <stp>TUPLENUM:57</stp>
        <tr r="V59" s="3"/>
      </tp>
      <tp t="e">
        <v>#N/A</v>
        <stp/>
        <stp>STREAM:AppOut</stp>
        <stp>FIELD:AppCxlRplID</stp>
        <stp>TUPLENUM:88</stp>
        <tr r="V90" s="3"/>
      </tp>
      <tp t="e">
        <v>#N/A</v>
        <stp/>
        <stp>STREAM:AppOut</stp>
        <stp>FIELD:AppCxlRplID</stp>
        <stp>TUPLENUM:89</stp>
        <tr r="V91" s="3"/>
      </tp>
      <tp t="e">
        <v>#N/A</v>
        <stp/>
        <stp>STREAM:AppOut</stp>
        <stp>FIELD:AppCxlRplID</stp>
        <stp>TUPLENUM:80</stp>
        <tr r="V82" s="3"/>
      </tp>
      <tp t="e">
        <v>#N/A</v>
        <stp/>
        <stp>STREAM:AppOut</stp>
        <stp>FIELD:AppCxlRplID</stp>
        <stp>TUPLENUM:81</stp>
        <tr r="V83" s="3"/>
      </tp>
      <tp t="e">
        <v>#N/A</v>
        <stp/>
        <stp>STREAM:AppOut</stp>
        <stp>FIELD:AppCxlRplID</stp>
        <stp>TUPLENUM:82</stp>
        <tr r="V84" s="3"/>
      </tp>
      <tp t="e">
        <v>#N/A</v>
        <stp/>
        <stp>STREAM:AppOut</stp>
        <stp>FIELD:AppCxlRplID</stp>
        <stp>TUPLENUM:83</stp>
        <tr r="V85" s="3"/>
      </tp>
      <tp t="e">
        <v>#N/A</v>
        <stp/>
        <stp>STREAM:AppOut</stp>
        <stp>FIELD:AppCxlRplID</stp>
        <stp>TUPLENUM:84</stp>
        <tr r="V86" s="3"/>
      </tp>
      <tp t="e">
        <v>#N/A</v>
        <stp/>
        <stp>STREAM:AppOut</stp>
        <stp>FIELD:AppCxlRplID</stp>
        <stp>TUPLENUM:85</stp>
        <tr r="V87" s="3"/>
      </tp>
      <tp t="e">
        <v>#N/A</v>
        <stp/>
        <stp>STREAM:AppOut</stp>
        <stp>FIELD:AppCxlRplID</stp>
        <stp>TUPLENUM:86</stp>
        <tr r="V88" s="3"/>
      </tp>
      <tp t="e">
        <v>#N/A</v>
        <stp/>
        <stp>STREAM:AppOut</stp>
        <stp>FIELD:AppCxlRplID</stp>
        <stp>TUPLENUM:87</stp>
        <tr r="V89" s="3"/>
      </tp>
      <tp t="e">
        <v>#N/A</v>
        <stp/>
        <stp>STREAM:AppOut</stp>
        <stp>FIELD:AppCxlRplID</stp>
        <stp>TUPLENUM:98</stp>
        <tr r="V100" s="3"/>
      </tp>
      <tp t="e">
        <v>#N/A</v>
        <stp/>
        <stp>STREAM:AppOut</stp>
        <stp>FIELD:AppCxlRplID</stp>
        <stp>TUPLENUM:99</stp>
        <tr r="V101" s="3"/>
      </tp>
      <tp t="e">
        <v>#N/A</v>
        <stp/>
        <stp>STREAM:AppOut</stp>
        <stp>FIELD:AppCxlRplID</stp>
        <stp>TUPLENUM:90</stp>
        <tr r="V92" s="3"/>
      </tp>
      <tp t="e">
        <v>#N/A</v>
        <stp/>
        <stp>STREAM:AppOut</stp>
        <stp>FIELD:AppCxlRplID</stp>
        <stp>TUPLENUM:91</stp>
        <tr r="V93" s="3"/>
      </tp>
      <tp t="e">
        <v>#N/A</v>
        <stp/>
        <stp>STREAM:AppOut</stp>
        <stp>FIELD:AppCxlRplID</stp>
        <stp>TUPLENUM:92</stp>
        <tr r="V94" s="3"/>
      </tp>
      <tp t="e">
        <v>#N/A</v>
        <stp/>
        <stp>STREAM:AppOut</stp>
        <stp>FIELD:AppCxlRplID</stp>
        <stp>TUPLENUM:93</stp>
        <tr r="V95" s="3"/>
      </tp>
      <tp t="e">
        <v>#N/A</v>
        <stp/>
        <stp>STREAM:AppOut</stp>
        <stp>FIELD:AppCxlRplID</stp>
        <stp>TUPLENUM:94</stp>
        <tr r="V96" s="3"/>
      </tp>
      <tp t="e">
        <v>#N/A</v>
        <stp/>
        <stp>STREAM:AppOut</stp>
        <stp>FIELD:AppCxlRplID</stp>
        <stp>TUPLENUM:95</stp>
        <tr r="V97" s="3"/>
      </tp>
      <tp t="e">
        <v>#N/A</v>
        <stp/>
        <stp>STREAM:AppOut</stp>
        <stp>FIELD:AppCxlRplID</stp>
        <stp>TUPLENUM:96</stp>
        <tr r="V98" s="3"/>
      </tp>
      <tp t="e">
        <v>#N/A</v>
        <stp/>
        <stp>STREAM:AppOut</stp>
        <stp>FIELD:AppCxlRplID</stp>
        <stp>TUPLENUM:97</stp>
        <tr r="V99" s="3"/>
      </tp>
      <tp t="e">
        <v>#N/A</v>
        <stp/>
        <stp>STREAM:AppOut</stp>
        <stp>FIELD:OrderQty</stp>
        <stp>TUPLENUM:18</stp>
        <tr r="AA20" s="3"/>
      </tp>
      <tp t="e">
        <v>#N/A</v>
        <stp/>
        <stp>STREAM:AppOut</stp>
        <stp>FIELD:OrderQty</stp>
        <stp>TUPLENUM:19</stp>
        <tr r="AA21" s="3"/>
      </tp>
      <tp t="e">
        <v>#N/A</v>
        <stp/>
        <stp>STREAM:AppOut</stp>
        <stp>FIELD:OrderQty</stp>
        <stp>TUPLENUM:16</stp>
        <tr r="AA18" s="3"/>
      </tp>
      <tp t="e">
        <v>#N/A</v>
        <stp/>
        <stp>STREAM:AppOut</stp>
        <stp>FIELD:OrderQty</stp>
        <stp>TUPLENUM:17</stp>
        <tr r="AA19" s="3"/>
      </tp>
      <tp t="e">
        <v>#N/A</v>
        <stp/>
        <stp>STREAM:AppOut</stp>
        <stp>FIELD:OrderQty</stp>
        <stp>TUPLENUM:14</stp>
        <tr r="AA16" s="3"/>
      </tp>
      <tp t="e">
        <v>#N/A</v>
        <stp/>
        <stp>STREAM:AppOut</stp>
        <stp>FIELD:OrderQty</stp>
        <stp>TUPLENUM:15</stp>
        <tr r="AA17" s="3"/>
      </tp>
      <tp t="e">
        <v>#N/A</v>
        <stp/>
        <stp>STREAM:AppOut</stp>
        <stp>FIELD:OrderQty</stp>
        <stp>TUPLENUM:12</stp>
        <tr r="AA14" s="3"/>
      </tp>
      <tp t="e">
        <v>#N/A</v>
        <stp/>
        <stp>STREAM:AppOut</stp>
        <stp>FIELD:OrderQty</stp>
        <stp>TUPLENUM:13</stp>
        <tr r="AA15" s="3"/>
      </tp>
      <tp t="e">
        <v>#N/A</v>
        <stp/>
        <stp>STREAM:AppOut</stp>
        <stp>FIELD:OrderQty</stp>
        <stp>TUPLENUM:10</stp>
        <tr r="AA12" s="3"/>
      </tp>
      <tp t="e">
        <v>#N/A</v>
        <stp/>
        <stp>STREAM:AppOut</stp>
        <stp>FIELD:OrderQty</stp>
        <stp>TUPLENUM:11</stp>
        <tr r="AA13" s="3"/>
      </tp>
      <tp t="e">
        <v>#N/A</v>
        <stp/>
        <stp>STREAM:AppOut</stp>
        <stp>FIELD:OrderQty</stp>
        <stp>TUPLENUM:28</stp>
        <tr r="AA30" s="3"/>
      </tp>
      <tp t="e">
        <v>#N/A</v>
        <stp/>
        <stp>STREAM:AppOut</stp>
        <stp>FIELD:OrderQty</stp>
        <stp>TUPLENUM:29</stp>
        <tr r="AA31" s="3"/>
      </tp>
      <tp t="e">
        <v>#N/A</v>
        <stp/>
        <stp>STREAM:AppOut</stp>
        <stp>FIELD:OrderQty</stp>
        <stp>TUPLENUM:26</stp>
        <tr r="AA28" s="3"/>
      </tp>
      <tp t="e">
        <v>#N/A</v>
        <stp/>
        <stp>STREAM:AppOut</stp>
        <stp>FIELD:OrderQty</stp>
        <stp>TUPLENUM:27</stp>
        <tr r="AA29" s="3"/>
      </tp>
      <tp t="e">
        <v>#N/A</v>
        <stp/>
        <stp>STREAM:AppOut</stp>
        <stp>FIELD:OrderQty</stp>
        <stp>TUPLENUM:24</stp>
        <tr r="AA26" s="3"/>
      </tp>
      <tp t="e">
        <v>#N/A</v>
        <stp/>
        <stp>STREAM:AppOut</stp>
        <stp>FIELD:OrderQty</stp>
        <stp>TUPLENUM:25</stp>
        <tr r="AA27" s="3"/>
      </tp>
      <tp t="e">
        <v>#N/A</v>
        <stp/>
        <stp>STREAM:AppOut</stp>
        <stp>FIELD:OrderQty</stp>
        <stp>TUPLENUM:22</stp>
        <tr r="AA24" s="3"/>
      </tp>
      <tp t="e">
        <v>#N/A</v>
        <stp/>
        <stp>STREAM:AppOut</stp>
        <stp>FIELD:OrderQty</stp>
        <stp>TUPLENUM:23</stp>
        <tr r="AA25" s="3"/>
      </tp>
      <tp t="e">
        <v>#N/A</v>
        <stp/>
        <stp>STREAM:AppOut</stp>
        <stp>FIELD:OrderQty</stp>
        <stp>TUPLENUM:20</stp>
        <tr r="AA22" s="3"/>
      </tp>
      <tp t="e">
        <v>#N/A</v>
        <stp/>
        <stp>STREAM:AppOut</stp>
        <stp>FIELD:OrderQty</stp>
        <stp>TUPLENUM:21</stp>
        <tr r="AA23" s="3"/>
      </tp>
      <tp t="e">
        <v>#N/A</v>
        <stp/>
        <stp>STREAM:AppOut</stp>
        <stp>FIELD:OrderQty</stp>
        <stp>TUPLENUM:38</stp>
        <tr r="AA40" s="3"/>
      </tp>
      <tp t="e">
        <v>#N/A</v>
        <stp/>
        <stp>STREAM:AppOut</stp>
        <stp>FIELD:OrderQty</stp>
        <stp>TUPLENUM:39</stp>
        <tr r="AA41" s="3"/>
      </tp>
      <tp t="e">
        <v>#N/A</v>
        <stp/>
        <stp>STREAM:AppOut</stp>
        <stp>FIELD:OrderQty</stp>
        <stp>TUPLENUM:36</stp>
        <tr r="AA38" s="3"/>
      </tp>
      <tp t="e">
        <v>#N/A</v>
        <stp/>
        <stp>STREAM:AppOut</stp>
        <stp>FIELD:OrderQty</stp>
        <stp>TUPLENUM:37</stp>
        <tr r="AA39" s="3"/>
      </tp>
      <tp t="e">
        <v>#N/A</v>
        <stp/>
        <stp>STREAM:AppOut</stp>
        <stp>FIELD:OrderQty</stp>
        <stp>TUPLENUM:34</stp>
        <tr r="AA36" s="3"/>
      </tp>
      <tp t="e">
        <v>#N/A</v>
        <stp/>
        <stp>STREAM:AppOut</stp>
        <stp>FIELD:OrderQty</stp>
        <stp>TUPLENUM:35</stp>
        <tr r="AA37" s="3"/>
      </tp>
      <tp t="e">
        <v>#N/A</v>
        <stp/>
        <stp>STREAM:AppOut</stp>
        <stp>FIELD:OrderQty</stp>
        <stp>TUPLENUM:32</stp>
        <tr r="AA34" s="3"/>
      </tp>
      <tp t="e">
        <v>#N/A</v>
        <stp/>
        <stp>STREAM:AppOut</stp>
        <stp>FIELD:OrderQty</stp>
        <stp>TUPLENUM:33</stp>
        <tr r="AA35" s="3"/>
      </tp>
      <tp t="e">
        <v>#N/A</v>
        <stp/>
        <stp>STREAM:AppOut</stp>
        <stp>FIELD:OrderQty</stp>
        <stp>TUPLENUM:30</stp>
        <tr r="AA32" s="3"/>
      </tp>
      <tp t="e">
        <v>#N/A</v>
        <stp/>
        <stp>STREAM:AppOut</stp>
        <stp>FIELD:OrderQty</stp>
        <stp>TUPLENUM:31</stp>
        <tr r="AA33" s="3"/>
      </tp>
      <tp t="e">
        <v>#N/A</v>
        <stp/>
        <stp>STREAM:AppOut</stp>
        <stp>FIELD:OrderQty</stp>
        <stp>TUPLENUM:48</stp>
        <tr r="AA50" s="3"/>
      </tp>
      <tp t="e">
        <v>#N/A</v>
        <stp/>
        <stp>STREAM:AppOut</stp>
        <stp>FIELD:OrderQty</stp>
        <stp>TUPLENUM:49</stp>
        <tr r="AA51" s="3"/>
      </tp>
      <tp t="e">
        <v>#N/A</v>
        <stp/>
        <stp>STREAM:AppOut</stp>
        <stp>FIELD:OrderQty</stp>
        <stp>TUPLENUM:46</stp>
        <tr r="AA48" s="3"/>
      </tp>
      <tp t="e">
        <v>#N/A</v>
        <stp/>
        <stp>STREAM:AppOut</stp>
        <stp>FIELD:OrderQty</stp>
        <stp>TUPLENUM:47</stp>
        <tr r="AA49" s="3"/>
      </tp>
      <tp t="e">
        <v>#N/A</v>
        <stp/>
        <stp>STREAM:AppOut</stp>
        <stp>FIELD:OrderQty</stp>
        <stp>TUPLENUM:44</stp>
        <tr r="AA46" s="3"/>
      </tp>
      <tp t="e">
        <v>#N/A</v>
        <stp/>
        <stp>STREAM:AppOut</stp>
        <stp>FIELD:OrderQty</stp>
        <stp>TUPLENUM:45</stp>
        <tr r="AA47" s="3"/>
      </tp>
      <tp t="e">
        <v>#N/A</v>
        <stp/>
        <stp>STREAM:AppOut</stp>
        <stp>FIELD:OrderQty</stp>
        <stp>TUPLENUM:42</stp>
        <tr r="AA44" s="3"/>
      </tp>
      <tp t="e">
        <v>#N/A</v>
        <stp/>
        <stp>STREAM:AppOut</stp>
        <stp>FIELD:OrderQty</stp>
        <stp>TUPLENUM:43</stp>
        <tr r="AA45" s="3"/>
      </tp>
      <tp t="e">
        <v>#N/A</v>
        <stp/>
        <stp>STREAM:AppOut</stp>
        <stp>FIELD:OrderQty</stp>
        <stp>TUPLENUM:40</stp>
        <tr r="AA42" s="3"/>
      </tp>
      <tp t="e">
        <v>#N/A</v>
        <stp/>
        <stp>STREAM:AppOut</stp>
        <stp>FIELD:OrderQty</stp>
        <stp>TUPLENUM:41</stp>
        <tr r="AA43" s="3"/>
      </tp>
      <tp t="e">
        <v>#N/A</v>
        <stp/>
        <stp>STREAM:AppOut</stp>
        <stp>FIELD:OrderQty</stp>
        <stp>TUPLENUM:58</stp>
        <tr r="AA60" s="3"/>
      </tp>
      <tp t="e">
        <v>#N/A</v>
        <stp/>
        <stp>STREAM:AppOut</stp>
        <stp>FIELD:OrderQty</stp>
        <stp>TUPLENUM:59</stp>
        <tr r="AA61" s="3"/>
      </tp>
      <tp t="e">
        <v>#N/A</v>
        <stp/>
        <stp>STREAM:AppOut</stp>
        <stp>FIELD:OrderQty</stp>
        <stp>TUPLENUM:56</stp>
        <tr r="AA58" s="3"/>
      </tp>
      <tp t="e">
        <v>#N/A</v>
        <stp/>
        <stp>STREAM:AppOut</stp>
        <stp>FIELD:OrderQty</stp>
        <stp>TUPLENUM:57</stp>
        <tr r="AA59" s="3"/>
      </tp>
      <tp t="e">
        <v>#N/A</v>
        <stp/>
        <stp>STREAM:AppOut</stp>
        <stp>FIELD:OrderQty</stp>
        <stp>TUPLENUM:54</stp>
        <tr r="AA56" s="3"/>
      </tp>
      <tp t="e">
        <v>#N/A</v>
        <stp/>
        <stp>STREAM:AppOut</stp>
        <stp>FIELD:OrderQty</stp>
        <stp>TUPLENUM:55</stp>
        <tr r="AA57" s="3"/>
      </tp>
      <tp t="e">
        <v>#N/A</v>
        <stp/>
        <stp>STREAM:AppOut</stp>
        <stp>FIELD:OrderQty</stp>
        <stp>TUPLENUM:52</stp>
        <tr r="AA54" s="3"/>
      </tp>
      <tp t="e">
        <v>#N/A</v>
        <stp/>
        <stp>STREAM:AppOut</stp>
        <stp>FIELD:OrderQty</stp>
        <stp>TUPLENUM:53</stp>
        <tr r="AA55" s="3"/>
      </tp>
      <tp t="e">
        <v>#N/A</v>
        <stp/>
        <stp>STREAM:AppOut</stp>
        <stp>FIELD:OrderQty</stp>
        <stp>TUPLENUM:50</stp>
        <tr r="AA52" s="3"/>
      </tp>
      <tp t="e">
        <v>#N/A</v>
        <stp/>
        <stp>STREAM:AppOut</stp>
        <stp>FIELD:OrderQty</stp>
        <stp>TUPLENUM:51</stp>
        <tr r="AA53" s="3"/>
      </tp>
      <tp t="e">
        <v>#N/A</v>
        <stp/>
        <stp>STREAM:AppOut</stp>
        <stp>FIELD:OrderQty</stp>
        <stp>TUPLENUM:68</stp>
        <tr r="AA70" s="3"/>
      </tp>
      <tp t="e">
        <v>#N/A</v>
        <stp/>
        <stp>STREAM:AppOut</stp>
        <stp>FIELD:OrderQty</stp>
        <stp>TUPLENUM:69</stp>
        <tr r="AA71" s="3"/>
      </tp>
      <tp t="e">
        <v>#N/A</v>
        <stp/>
        <stp>STREAM:AppOut</stp>
        <stp>FIELD:OrderQty</stp>
        <stp>TUPLENUM:66</stp>
        <tr r="AA68" s="3"/>
      </tp>
      <tp t="e">
        <v>#N/A</v>
        <stp/>
        <stp>STREAM:AppOut</stp>
        <stp>FIELD:OrderQty</stp>
        <stp>TUPLENUM:67</stp>
        <tr r="AA69" s="3"/>
      </tp>
      <tp t="e">
        <v>#N/A</v>
        <stp/>
        <stp>STREAM:AppOut</stp>
        <stp>FIELD:OrderQty</stp>
        <stp>TUPLENUM:64</stp>
        <tr r="AA66" s="3"/>
      </tp>
      <tp t="e">
        <v>#N/A</v>
        <stp/>
        <stp>STREAM:AppOut</stp>
        <stp>FIELD:OrderQty</stp>
        <stp>TUPLENUM:65</stp>
        <tr r="AA67" s="3"/>
      </tp>
      <tp t="e">
        <v>#N/A</v>
        <stp/>
        <stp>STREAM:AppOut</stp>
        <stp>FIELD:OrderQty</stp>
        <stp>TUPLENUM:62</stp>
        <tr r="AA64" s="3"/>
      </tp>
      <tp t="e">
        <v>#N/A</v>
        <stp/>
        <stp>STREAM:AppOut</stp>
        <stp>FIELD:OrderQty</stp>
        <stp>TUPLENUM:63</stp>
        <tr r="AA65" s="3"/>
      </tp>
      <tp t="e">
        <v>#N/A</v>
        <stp/>
        <stp>STREAM:AppOut</stp>
        <stp>FIELD:OrderQty</stp>
        <stp>TUPLENUM:60</stp>
        <tr r="AA62" s="3"/>
      </tp>
      <tp t="e">
        <v>#N/A</v>
        <stp/>
        <stp>STREAM:AppOut</stp>
        <stp>FIELD:OrderQty</stp>
        <stp>TUPLENUM:61</stp>
        <tr r="AA63" s="3"/>
      </tp>
      <tp t="e">
        <v>#N/A</v>
        <stp/>
        <stp>STREAM:AppOut</stp>
        <stp>FIELD:OrderQty</stp>
        <stp>TUPLENUM:78</stp>
        <tr r="AA80" s="3"/>
      </tp>
      <tp t="e">
        <v>#N/A</v>
        <stp/>
        <stp>STREAM:AppOut</stp>
        <stp>FIELD:OrderQty</stp>
        <stp>TUPLENUM:79</stp>
        <tr r="AA81" s="3"/>
      </tp>
      <tp t="e">
        <v>#N/A</v>
        <stp/>
        <stp>STREAM:AppOut</stp>
        <stp>FIELD:OrderQty</stp>
        <stp>TUPLENUM:76</stp>
        <tr r="AA78" s="3"/>
      </tp>
      <tp t="e">
        <v>#N/A</v>
        <stp/>
        <stp>STREAM:AppOut</stp>
        <stp>FIELD:OrderQty</stp>
        <stp>TUPLENUM:77</stp>
        <tr r="AA79" s="3"/>
      </tp>
      <tp t="e">
        <v>#N/A</v>
        <stp/>
        <stp>STREAM:AppOut</stp>
        <stp>FIELD:OrderQty</stp>
        <stp>TUPLENUM:74</stp>
        <tr r="AA76" s="3"/>
      </tp>
      <tp t="e">
        <v>#N/A</v>
        <stp/>
        <stp>STREAM:AppOut</stp>
        <stp>FIELD:OrderQty</stp>
        <stp>TUPLENUM:75</stp>
        <tr r="AA77" s="3"/>
      </tp>
      <tp t="e">
        <v>#N/A</v>
        <stp/>
        <stp>STREAM:AppOut</stp>
        <stp>FIELD:OrderQty</stp>
        <stp>TUPLENUM:72</stp>
        <tr r="AA74" s="3"/>
      </tp>
      <tp t="e">
        <v>#N/A</v>
        <stp/>
        <stp>STREAM:AppOut</stp>
        <stp>FIELD:OrderQty</stp>
        <stp>TUPLENUM:73</stp>
        <tr r="AA75" s="3"/>
      </tp>
      <tp t="e">
        <v>#N/A</v>
        <stp/>
        <stp>STREAM:AppOut</stp>
        <stp>FIELD:OrderQty</stp>
        <stp>TUPLENUM:70</stp>
        <tr r="AA72" s="3"/>
      </tp>
      <tp t="e">
        <v>#N/A</v>
        <stp/>
        <stp>STREAM:AppOut</stp>
        <stp>FIELD:OrderQty</stp>
        <stp>TUPLENUM:71</stp>
        <tr r="AA73" s="3"/>
      </tp>
      <tp t="e">
        <v>#N/A</v>
        <stp/>
        <stp>STREAM:AppOut</stp>
        <stp>FIELD:OrderQty</stp>
        <stp>TUPLENUM:88</stp>
        <tr r="AA90" s="3"/>
      </tp>
      <tp t="e">
        <v>#N/A</v>
        <stp/>
        <stp>STREAM:AppOut</stp>
        <stp>FIELD:OrderQty</stp>
        <stp>TUPLENUM:89</stp>
        <tr r="AA91" s="3"/>
      </tp>
      <tp t="e">
        <v>#N/A</v>
        <stp/>
        <stp>STREAM:AppOut</stp>
        <stp>FIELD:OrderQty</stp>
        <stp>TUPLENUM:86</stp>
        <tr r="AA88" s="3"/>
      </tp>
      <tp t="e">
        <v>#N/A</v>
        <stp/>
        <stp>STREAM:AppOut</stp>
        <stp>FIELD:OrderQty</stp>
        <stp>TUPLENUM:87</stp>
        <tr r="AA89" s="3"/>
      </tp>
      <tp t="e">
        <v>#N/A</v>
        <stp/>
        <stp>STREAM:AppOut</stp>
        <stp>FIELD:OrderQty</stp>
        <stp>TUPLENUM:84</stp>
        <tr r="AA86" s="3"/>
      </tp>
      <tp t="e">
        <v>#N/A</v>
        <stp/>
        <stp>STREAM:AppOut</stp>
        <stp>FIELD:OrderQty</stp>
        <stp>TUPLENUM:85</stp>
        <tr r="AA87" s="3"/>
      </tp>
      <tp t="e">
        <v>#N/A</v>
        <stp/>
        <stp>STREAM:AppOut</stp>
        <stp>FIELD:OrderQty</stp>
        <stp>TUPLENUM:82</stp>
        <tr r="AA84" s="3"/>
      </tp>
      <tp t="e">
        <v>#N/A</v>
        <stp/>
        <stp>STREAM:AppOut</stp>
        <stp>FIELD:OrderQty</stp>
        <stp>TUPLENUM:83</stp>
        <tr r="AA85" s="3"/>
      </tp>
      <tp t="e">
        <v>#N/A</v>
        <stp/>
        <stp>STREAM:AppOut</stp>
        <stp>FIELD:OrderQty</stp>
        <stp>TUPLENUM:80</stp>
        <tr r="AA82" s="3"/>
      </tp>
      <tp t="e">
        <v>#N/A</v>
        <stp/>
        <stp>STREAM:AppOut</stp>
        <stp>FIELD:OrderQty</stp>
        <stp>TUPLENUM:81</stp>
        <tr r="AA83" s="3"/>
      </tp>
      <tp t="e">
        <v>#N/A</v>
        <stp/>
        <stp>STREAM:AppOut</stp>
        <stp>FIELD:OrderQty</stp>
        <stp>TUPLENUM:98</stp>
        <tr r="AA100" s="3"/>
      </tp>
      <tp t="e">
        <v>#N/A</v>
        <stp/>
        <stp>STREAM:AppOut</stp>
        <stp>FIELD:OrderQty</stp>
        <stp>TUPLENUM:99</stp>
        <tr r="AA101" s="3"/>
      </tp>
      <tp t="e">
        <v>#N/A</v>
        <stp/>
        <stp>STREAM:AppOut</stp>
        <stp>FIELD:OrderQty</stp>
        <stp>TUPLENUM:96</stp>
        <tr r="AA98" s="3"/>
      </tp>
      <tp t="e">
        <v>#N/A</v>
        <stp/>
        <stp>STREAM:AppOut</stp>
        <stp>FIELD:OrderQty</stp>
        <stp>TUPLENUM:97</stp>
        <tr r="AA99" s="3"/>
      </tp>
      <tp t="e">
        <v>#N/A</v>
        <stp/>
        <stp>STREAM:AppOut</stp>
        <stp>FIELD:OrderQty</stp>
        <stp>TUPLENUM:94</stp>
        <tr r="AA96" s="3"/>
      </tp>
      <tp t="e">
        <v>#N/A</v>
        <stp/>
        <stp>STREAM:AppOut</stp>
        <stp>FIELD:OrderQty</stp>
        <stp>TUPLENUM:95</stp>
        <tr r="AA97" s="3"/>
      </tp>
      <tp t="e">
        <v>#N/A</v>
        <stp/>
        <stp>STREAM:AppOut</stp>
        <stp>FIELD:OrderQty</stp>
        <stp>TUPLENUM:92</stp>
        <tr r="AA94" s="3"/>
      </tp>
      <tp t="e">
        <v>#N/A</v>
        <stp/>
        <stp>STREAM:AppOut</stp>
        <stp>FIELD:OrderQty</stp>
        <stp>TUPLENUM:93</stp>
        <tr r="AA95" s="3"/>
      </tp>
      <tp t="e">
        <v>#N/A</v>
        <stp/>
        <stp>STREAM:AppOut</stp>
        <stp>FIELD:OrderQty</stp>
        <stp>TUPLENUM:90</stp>
        <tr r="AA92" s="3"/>
      </tp>
      <tp t="e">
        <v>#N/A</v>
        <stp/>
        <stp>STREAM:AppOut</stp>
        <stp>FIELD:OrderQty</stp>
        <stp>TUPLENUM:91</stp>
        <tr r="AA93" s="3"/>
      </tp>
      <tp t="e">
        <v>#N/A</v>
        <stp/>
        <stp>STREAM:AppOut</stp>
        <stp>FIELD:Price</stp>
        <stp>TUPLENUM:140</stp>
        <tr r="Z142" s="3"/>
      </tp>
      <tp t="e">
        <v>#N/A</v>
        <stp/>
        <stp>STREAM:AppOut</stp>
        <stp>FIELD:Price</stp>
        <stp>TUPLENUM:129</stp>
        <tr r="Z131" s="3"/>
      </tp>
      <tp t="e">
        <v>#N/A</v>
        <stp/>
        <stp>STREAM:AppOut</stp>
        <stp>FIELD:Price</stp>
        <stp>TUPLENUM:128</stp>
        <tr r="Z130" s="3"/>
      </tp>
      <tp t="e">
        <v>#N/A</v>
        <stp/>
        <stp>STREAM:AppOut</stp>
        <stp>FIELD:Price</stp>
        <stp>TUPLENUM:121</stp>
        <tr r="Z123" s="3"/>
      </tp>
      <tp t="e">
        <v>#N/A</v>
        <stp/>
        <stp>STREAM:AppOut</stp>
        <stp>FIELD:Price</stp>
        <stp>TUPLENUM:120</stp>
        <tr r="Z122" s="3"/>
      </tp>
      <tp t="e">
        <v>#N/A</v>
        <stp/>
        <stp>STREAM:AppOut</stp>
        <stp>FIELD:Price</stp>
        <stp>TUPLENUM:123</stp>
        <tr r="Z125" s="3"/>
      </tp>
      <tp t="e">
        <v>#N/A</v>
        <stp/>
        <stp>STREAM:AppOut</stp>
        <stp>FIELD:Price</stp>
        <stp>TUPLENUM:122</stp>
        <tr r="Z124" s="3"/>
      </tp>
      <tp t="e">
        <v>#N/A</v>
        <stp/>
        <stp>STREAM:AppOut</stp>
        <stp>FIELD:Price</stp>
        <stp>TUPLENUM:125</stp>
        <tr r="Z127" s="3"/>
      </tp>
      <tp t="e">
        <v>#N/A</v>
        <stp/>
        <stp>STREAM:AppOut</stp>
        <stp>FIELD:Price</stp>
        <stp>TUPLENUM:124</stp>
        <tr r="Z126" s="3"/>
      </tp>
      <tp t="e">
        <v>#N/A</v>
        <stp/>
        <stp>STREAM:AppOut</stp>
        <stp>FIELD:Price</stp>
        <stp>TUPLENUM:127</stp>
        <tr r="Z129" s="3"/>
      </tp>
      <tp t="e">
        <v>#N/A</v>
        <stp/>
        <stp>STREAM:AppOut</stp>
        <stp>FIELD:Price</stp>
        <stp>TUPLENUM:126</stp>
        <tr r="Z128" s="3"/>
      </tp>
      <tp t="e">
        <v>#N/A</v>
        <stp/>
        <stp>STREAM:AppOut</stp>
        <stp>FIELD:Price</stp>
        <stp>TUPLENUM:139</stp>
        <tr r="Z141" s="3"/>
      </tp>
      <tp t="e">
        <v>#N/A</v>
        <stp/>
        <stp>STREAM:AppOut</stp>
        <stp>FIELD:Price</stp>
        <stp>TUPLENUM:138</stp>
        <tr r="Z140" s="3"/>
      </tp>
      <tp t="e">
        <v>#N/A</v>
        <stp/>
        <stp>STREAM:AppOut</stp>
        <stp>FIELD:Price</stp>
        <stp>TUPLENUM:131</stp>
        <tr r="Z133" s="3"/>
      </tp>
      <tp t="e">
        <v>#N/A</v>
        <stp/>
        <stp>STREAM:AppOut</stp>
        <stp>FIELD:Price</stp>
        <stp>TUPLENUM:130</stp>
        <tr r="Z132" s="3"/>
      </tp>
      <tp t="e">
        <v>#N/A</v>
        <stp/>
        <stp>STREAM:AppOut</stp>
        <stp>FIELD:Price</stp>
        <stp>TUPLENUM:133</stp>
        <tr r="Z135" s="3"/>
      </tp>
      <tp t="e">
        <v>#N/A</v>
        <stp/>
        <stp>STREAM:AppOut</stp>
        <stp>FIELD:Price</stp>
        <stp>TUPLENUM:132</stp>
        <tr r="Z134" s="3"/>
      </tp>
      <tp t="e">
        <v>#N/A</v>
        <stp/>
        <stp>STREAM:AppOut</stp>
        <stp>FIELD:Price</stp>
        <stp>TUPLENUM:135</stp>
        <tr r="Z137" s="3"/>
      </tp>
      <tp t="e">
        <v>#N/A</v>
        <stp/>
        <stp>STREAM:AppOut</stp>
        <stp>FIELD:Price</stp>
        <stp>TUPLENUM:134</stp>
        <tr r="Z136" s="3"/>
      </tp>
      <tp t="e">
        <v>#N/A</v>
        <stp/>
        <stp>STREAM:AppOut</stp>
        <stp>FIELD:Price</stp>
        <stp>TUPLENUM:137</stp>
        <tr r="Z139" s="3"/>
      </tp>
      <tp t="e">
        <v>#N/A</v>
        <stp/>
        <stp>STREAM:AppOut</stp>
        <stp>FIELD:Price</stp>
        <stp>TUPLENUM:136</stp>
        <tr r="Z138" s="3"/>
      </tp>
      <tp t="e">
        <v>#N/A</v>
        <stp/>
        <stp>STREAM:AppOut</stp>
        <stp>FIELD:Price</stp>
        <stp>TUPLENUM:109</stp>
        <tr r="Z111" s="3"/>
      </tp>
      <tp t="e">
        <v>#N/A</v>
        <stp/>
        <stp>STREAM:AppOut</stp>
        <stp>FIELD:Price</stp>
        <stp>TUPLENUM:108</stp>
        <tr r="Z110" s="3"/>
      </tp>
      <tp t="e">
        <v>#N/A</v>
        <stp/>
        <stp>STREAM:AppOut</stp>
        <stp>FIELD:Price</stp>
        <stp>TUPLENUM:101</stp>
        <tr r="Z103" s="3"/>
      </tp>
      <tp t="e">
        <v>#N/A</v>
        <stp/>
        <stp>STREAM:AppOut</stp>
        <stp>FIELD:Price</stp>
        <stp>TUPLENUM:100</stp>
        <tr r="Z102" s="3"/>
      </tp>
      <tp t="e">
        <v>#N/A</v>
        <stp/>
        <stp>STREAM:AppOut</stp>
        <stp>FIELD:Price</stp>
        <stp>TUPLENUM:103</stp>
        <tr r="Z105" s="3"/>
      </tp>
      <tp t="e">
        <v>#N/A</v>
        <stp/>
        <stp>STREAM:AppOut</stp>
        <stp>FIELD:Price</stp>
        <stp>TUPLENUM:102</stp>
        <tr r="Z104" s="3"/>
      </tp>
      <tp t="e">
        <v>#N/A</v>
        <stp/>
        <stp>STREAM:AppOut</stp>
        <stp>FIELD:Price</stp>
        <stp>TUPLENUM:105</stp>
        <tr r="Z107" s="3"/>
      </tp>
      <tp t="e">
        <v>#N/A</v>
        <stp/>
        <stp>STREAM:AppOut</stp>
        <stp>FIELD:Price</stp>
        <stp>TUPLENUM:104</stp>
        <tr r="Z106" s="3"/>
      </tp>
      <tp t="e">
        <v>#N/A</v>
        <stp/>
        <stp>STREAM:AppOut</stp>
        <stp>FIELD:Price</stp>
        <stp>TUPLENUM:107</stp>
        <tr r="Z109" s="3"/>
      </tp>
      <tp t="e">
        <v>#N/A</v>
        <stp/>
        <stp>STREAM:AppOut</stp>
        <stp>FIELD:Price</stp>
        <stp>TUPLENUM:106</stp>
        <tr r="Z108" s="3"/>
      </tp>
      <tp t="e">
        <v>#N/A</v>
        <stp/>
        <stp>STREAM:AppOut</stp>
        <stp>FIELD:Price</stp>
        <stp>TUPLENUM:119</stp>
        <tr r="Z121" s="3"/>
      </tp>
      <tp t="e">
        <v>#N/A</v>
        <stp/>
        <stp>STREAM:AppOut</stp>
        <stp>FIELD:Price</stp>
        <stp>TUPLENUM:118</stp>
        <tr r="Z120" s="3"/>
      </tp>
      <tp t="e">
        <v>#N/A</v>
        <stp/>
        <stp>STREAM:AppOut</stp>
        <stp>FIELD:Price</stp>
        <stp>TUPLENUM:111</stp>
        <tr r="Z113" s="3"/>
      </tp>
      <tp t="e">
        <v>#N/A</v>
        <stp/>
        <stp>STREAM:AppOut</stp>
        <stp>FIELD:Price</stp>
        <stp>TUPLENUM:110</stp>
        <tr r="Z112" s="3"/>
      </tp>
      <tp t="e">
        <v>#N/A</v>
        <stp/>
        <stp>STREAM:AppOut</stp>
        <stp>FIELD:Price</stp>
        <stp>TUPLENUM:113</stp>
        <tr r="Z115" s="3"/>
      </tp>
      <tp t="e">
        <v>#N/A</v>
        <stp/>
        <stp>STREAM:AppOut</stp>
        <stp>FIELD:Price</stp>
        <stp>TUPLENUM:112</stp>
        <tr r="Z114" s="3"/>
      </tp>
      <tp t="e">
        <v>#N/A</v>
        <stp/>
        <stp>STREAM:AppOut</stp>
        <stp>FIELD:Price</stp>
        <stp>TUPLENUM:115</stp>
        <tr r="Z117" s="3"/>
      </tp>
      <tp t="e">
        <v>#N/A</v>
        <stp/>
        <stp>STREAM:AppOut</stp>
        <stp>FIELD:Price</stp>
        <stp>TUPLENUM:114</stp>
        <tr r="Z116" s="3"/>
      </tp>
      <tp t="e">
        <v>#N/A</v>
        <stp/>
        <stp>STREAM:AppOut</stp>
        <stp>FIELD:Price</stp>
        <stp>TUPLENUM:117</stp>
        <tr r="Z119" s="3"/>
      </tp>
      <tp t="e">
        <v>#N/A</v>
        <stp/>
        <stp>STREAM:AppOut</stp>
        <stp>FIELD:Price</stp>
        <stp>TUPLENUM:116</stp>
        <tr r="Z118" s="3"/>
      </tp>
      <tp t="e">
        <v>#N/A</v>
        <stp/>
        <stp>STREAM:AppOut</stp>
        <stp>FIELD:Symbol</stp>
        <stp>TUPLENUM:11</stp>
        <tr r="W13" s="3"/>
      </tp>
      <tp t="e">
        <v>#N/A</v>
        <stp/>
        <stp>STREAM:AppOut</stp>
        <stp>FIELD:Symbol</stp>
        <stp>TUPLENUM:10</stp>
        <tr r="W12" s="3"/>
      </tp>
      <tp t="e">
        <v>#N/A</v>
        <stp/>
        <stp>STREAM:AppOut</stp>
        <stp>FIELD:Symbol</stp>
        <stp>TUPLENUM:13</stp>
        <tr r="W15" s="3"/>
      </tp>
      <tp t="e">
        <v>#N/A</v>
        <stp/>
        <stp>STREAM:AppOut</stp>
        <stp>FIELD:Symbol</stp>
        <stp>TUPLENUM:12</stp>
        <tr r="W14" s="3"/>
      </tp>
      <tp t="e">
        <v>#N/A</v>
        <stp/>
        <stp>STREAM:AppOut</stp>
        <stp>FIELD:Symbol</stp>
        <stp>TUPLENUM:15</stp>
        <tr r="W17" s="3"/>
      </tp>
      <tp t="e">
        <v>#N/A</v>
        <stp/>
        <stp>STREAM:AppOut</stp>
        <stp>FIELD:Symbol</stp>
        <stp>TUPLENUM:14</stp>
        <tr r="W16" s="3"/>
      </tp>
      <tp t="e">
        <v>#N/A</v>
        <stp/>
        <stp>STREAM:AppOut</stp>
        <stp>FIELD:Symbol</stp>
        <stp>TUPLENUM:17</stp>
        <tr r="W19" s="3"/>
      </tp>
      <tp t="e">
        <v>#N/A</v>
        <stp/>
        <stp>STREAM:AppOut</stp>
        <stp>FIELD:Symbol</stp>
        <stp>TUPLENUM:16</stp>
        <tr r="W18" s="3"/>
      </tp>
      <tp t="e">
        <v>#N/A</v>
        <stp/>
        <stp>STREAM:AppOut</stp>
        <stp>FIELD:Symbol</stp>
        <stp>TUPLENUM:19</stp>
        <tr r="W21" s="3"/>
      </tp>
      <tp t="e">
        <v>#N/A</v>
        <stp/>
        <stp>STREAM:AppOut</stp>
        <stp>FIELD:Symbol</stp>
        <stp>TUPLENUM:18</stp>
        <tr r="W20" s="3"/>
      </tp>
      <tp t="e">
        <v>#N/A</v>
        <stp/>
        <stp>STREAM:AppOut</stp>
        <stp>FIELD:Symbol</stp>
        <stp>TUPLENUM:31</stp>
        <tr r="W33" s="3"/>
      </tp>
      <tp t="e">
        <v>#N/A</v>
        <stp/>
        <stp>STREAM:AppOut</stp>
        <stp>FIELD:Symbol</stp>
        <stp>TUPLENUM:30</stp>
        <tr r="W32" s="3"/>
      </tp>
      <tp t="e">
        <v>#N/A</v>
        <stp/>
        <stp>STREAM:AppOut</stp>
        <stp>FIELD:Symbol</stp>
        <stp>TUPLENUM:33</stp>
        <tr r="W35" s="3"/>
      </tp>
      <tp t="e">
        <v>#N/A</v>
        <stp/>
        <stp>STREAM:AppOut</stp>
        <stp>FIELD:Symbol</stp>
        <stp>TUPLENUM:32</stp>
        <tr r="W34" s="3"/>
      </tp>
      <tp t="e">
        <v>#N/A</v>
        <stp/>
        <stp>STREAM:AppOut</stp>
        <stp>FIELD:Symbol</stp>
        <stp>TUPLENUM:35</stp>
        <tr r="W37" s="3"/>
      </tp>
      <tp t="e">
        <v>#N/A</v>
        <stp/>
        <stp>STREAM:AppOut</stp>
        <stp>FIELD:Symbol</stp>
        <stp>TUPLENUM:34</stp>
        <tr r="W36" s="3"/>
      </tp>
      <tp t="e">
        <v>#N/A</v>
        <stp/>
        <stp>STREAM:AppOut</stp>
        <stp>FIELD:Symbol</stp>
        <stp>TUPLENUM:37</stp>
        <tr r="W39" s="3"/>
      </tp>
      <tp t="e">
        <v>#N/A</v>
        <stp/>
        <stp>STREAM:AppOut</stp>
        <stp>FIELD:Symbol</stp>
        <stp>TUPLENUM:36</stp>
        <tr r="W38" s="3"/>
      </tp>
      <tp t="e">
        <v>#N/A</v>
        <stp/>
        <stp>STREAM:AppOut</stp>
        <stp>FIELD:Symbol</stp>
        <stp>TUPLENUM:39</stp>
        <tr r="W41" s="3"/>
      </tp>
      <tp t="e">
        <v>#N/A</v>
        <stp/>
        <stp>STREAM:AppOut</stp>
        <stp>FIELD:Symbol</stp>
        <stp>TUPLENUM:38</stp>
        <tr r="W40" s="3"/>
      </tp>
      <tp t="e">
        <v>#N/A</v>
        <stp/>
        <stp>STREAM:AppOut</stp>
        <stp>FIELD:Symbol</stp>
        <stp>TUPLENUM:21</stp>
        <tr r="W23" s="3"/>
      </tp>
      <tp t="e">
        <v>#N/A</v>
        <stp/>
        <stp>STREAM:AppOut</stp>
        <stp>FIELD:Symbol</stp>
        <stp>TUPLENUM:20</stp>
        <tr r="W22" s="3"/>
      </tp>
      <tp t="e">
        <v>#N/A</v>
        <stp/>
        <stp>STREAM:AppOut</stp>
        <stp>FIELD:Symbol</stp>
        <stp>TUPLENUM:23</stp>
        <tr r="W25" s="3"/>
      </tp>
      <tp t="e">
        <v>#N/A</v>
        <stp/>
        <stp>STREAM:AppOut</stp>
        <stp>FIELD:Symbol</stp>
        <stp>TUPLENUM:22</stp>
        <tr r="W24" s="3"/>
      </tp>
      <tp t="e">
        <v>#N/A</v>
        <stp/>
        <stp>STREAM:AppOut</stp>
        <stp>FIELD:Symbol</stp>
        <stp>TUPLENUM:25</stp>
        <tr r="W27" s="3"/>
      </tp>
      <tp t="e">
        <v>#N/A</v>
        <stp/>
        <stp>STREAM:AppOut</stp>
        <stp>FIELD:Symbol</stp>
        <stp>TUPLENUM:24</stp>
        <tr r="W26" s="3"/>
      </tp>
      <tp t="e">
        <v>#N/A</v>
        <stp/>
        <stp>STREAM:AppOut</stp>
        <stp>FIELD:Symbol</stp>
        <stp>TUPLENUM:27</stp>
        <tr r="W29" s="3"/>
      </tp>
      <tp t="e">
        <v>#N/A</v>
        <stp/>
        <stp>STREAM:AppOut</stp>
        <stp>FIELD:Symbol</stp>
        <stp>TUPLENUM:26</stp>
        <tr r="W28" s="3"/>
      </tp>
      <tp t="e">
        <v>#N/A</v>
        <stp/>
        <stp>STREAM:AppOut</stp>
        <stp>FIELD:Symbol</stp>
        <stp>TUPLENUM:29</stp>
        <tr r="W31" s="3"/>
      </tp>
      <tp t="e">
        <v>#N/A</v>
        <stp/>
        <stp>STREAM:AppOut</stp>
        <stp>FIELD:Symbol</stp>
        <stp>TUPLENUM:28</stp>
        <tr r="W30" s="3"/>
      </tp>
      <tp t="e">
        <v>#N/A</v>
        <stp/>
        <stp>STREAM:AppOut</stp>
        <stp>FIELD:Symbol</stp>
        <stp>TUPLENUM:51</stp>
        <tr r="W53" s="3"/>
      </tp>
      <tp t="e">
        <v>#N/A</v>
        <stp/>
        <stp>STREAM:AppOut</stp>
        <stp>FIELD:Symbol</stp>
        <stp>TUPLENUM:50</stp>
        <tr r="W52" s="3"/>
      </tp>
      <tp t="e">
        <v>#N/A</v>
        <stp/>
        <stp>STREAM:AppOut</stp>
        <stp>FIELD:Symbol</stp>
        <stp>TUPLENUM:53</stp>
        <tr r="W55" s="3"/>
      </tp>
      <tp t="e">
        <v>#N/A</v>
        <stp/>
        <stp>STREAM:AppOut</stp>
        <stp>FIELD:Symbol</stp>
        <stp>TUPLENUM:52</stp>
        <tr r="W54" s="3"/>
      </tp>
      <tp t="e">
        <v>#N/A</v>
        <stp/>
        <stp>STREAM:AppOut</stp>
        <stp>FIELD:Symbol</stp>
        <stp>TUPLENUM:55</stp>
        <tr r="W57" s="3"/>
      </tp>
      <tp t="e">
        <v>#N/A</v>
        <stp/>
        <stp>STREAM:AppOut</stp>
        <stp>FIELD:Symbol</stp>
        <stp>TUPLENUM:54</stp>
        <tr r="W56" s="3"/>
      </tp>
      <tp t="e">
        <v>#N/A</v>
        <stp/>
        <stp>STREAM:AppOut</stp>
        <stp>FIELD:Symbol</stp>
        <stp>TUPLENUM:57</stp>
        <tr r="W59" s="3"/>
      </tp>
      <tp t="e">
        <v>#N/A</v>
        <stp/>
        <stp>STREAM:AppOut</stp>
        <stp>FIELD:Symbol</stp>
        <stp>TUPLENUM:56</stp>
        <tr r="W58" s="3"/>
      </tp>
      <tp t="e">
        <v>#N/A</v>
        <stp/>
        <stp>STREAM:AppOut</stp>
        <stp>FIELD:Symbol</stp>
        <stp>TUPLENUM:59</stp>
        <tr r="W61" s="3"/>
      </tp>
      <tp t="e">
        <v>#N/A</v>
        <stp/>
        <stp>STREAM:AppOut</stp>
        <stp>FIELD:Symbol</stp>
        <stp>TUPLENUM:58</stp>
        <tr r="W60" s="3"/>
      </tp>
      <tp t="e">
        <v>#N/A</v>
        <stp/>
        <stp>STREAM:AppOut</stp>
        <stp>FIELD:Symbol</stp>
        <stp>TUPLENUM:41</stp>
        <tr r="W43" s="3"/>
      </tp>
      <tp t="e">
        <v>#N/A</v>
        <stp/>
        <stp>STREAM:AppOut</stp>
        <stp>FIELD:Symbol</stp>
        <stp>TUPLENUM:40</stp>
        <tr r="W42" s="3"/>
      </tp>
      <tp t="e">
        <v>#N/A</v>
        <stp/>
        <stp>STREAM:AppOut</stp>
        <stp>FIELD:Symbol</stp>
        <stp>TUPLENUM:43</stp>
        <tr r="W45" s="3"/>
      </tp>
      <tp t="e">
        <v>#N/A</v>
        <stp/>
        <stp>STREAM:AppOut</stp>
        <stp>FIELD:Symbol</stp>
        <stp>TUPLENUM:42</stp>
        <tr r="W44" s="3"/>
      </tp>
      <tp t="e">
        <v>#N/A</v>
        <stp/>
        <stp>STREAM:AppOut</stp>
        <stp>FIELD:Symbol</stp>
        <stp>TUPLENUM:45</stp>
        <tr r="W47" s="3"/>
      </tp>
      <tp t="e">
        <v>#N/A</v>
        <stp/>
        <stp>STREAM:AppOut</stp>
        <stp>FIELD:Symbol</stp>
        <stp>TUPLENUM:44</stp>
        <tr r="W46" s="3"/>
      </tp>
      <tp t="e">
        <v>#N/A</v>
        <stp/>
        <stp>STREAM:AppOut</stp>
        <stp>FIELD:Symbol</stp>
        <stp>TUPLENUM:47</stp>
        <tr r="W49" s="3"/>
      </tp>
      <tp t="e">
        <v>#N/A</v>
        <stp/>
        <stp>STREAM:AppOut</stp>
        <stp>FIELD:Symbol</stp>
        <stp>TUPLENUM:46</stp>
        <tr r="W48" s="3"/>
      </tp>
      <tp t="e">
        <v>#N/A</v>
        <stp/>
        <stp>STREAM:AppOut</stp>
        <stp>FIELD:Symbol</stp>
        <stp>TUPLENUM:49</stp>
        <tr r="W51" s="3"/>
      </tp>
      <tp t="e">
        <v>#N/A</v>
        <stp/>
        <stp>STREAM:AppOut</stp>
        <stp>FIELD:Symbol</stp>
        <stp>TUPLENUM:48</stp>
        <tr r="W50" s="3"/>
      </tp>
      <tp t="e">
        <v>#N/A</v>
        <stp/>
        <stp>STREAM:AppOut</stp>
        <stp>FIELD:Symbol</stp>
        <stp>TUPLENUM:71</stp>
        <tr r="W73" s="3"/>
      </tp>
      <tp t="e">
        <v>#N/A</v>
        <stp/>
        <stp>STREAM:AppOut</stp>
        <stp>FIELD:Symbol</stp>
        <stp>TUPLENUM:70</stp>
        <tr r="W72" s="3"/>
      </tp>
      <tp t="e">
        <v>#N/A</v>
        <stp/>
        <stp>STREAM:AppOut</stp>
        <stp>FIELD:Symbol</stp>
        <stp>TUPLENUM:73</stp>
        <tr r="W75" s="3"/>
      </tp>
      <tp t="e">
        <v>#N/A</v>
        <stp/>
        <stp>STREAM:AppOut</stp>
        <stp>FIELD:Symbol</stp>
        <stp>TUPLENUM:72</stp>
        <tr r="W74" s="3"/>
      </tp>
      <tp t="e">
        <v>#N/A</v>
        <stp/>
        <stp>STREAM:AppOut</stp>
        <stp>FIELD:Symbol</stp>
        <stp>TUPLENUM:75</stp>
        <tr r="W77" s="3"/>
      </tp>
      <tp t="e">
        <v>#N/A</v>
        <stp/>
        <stp>STREAM:AppOut</stp>
        <stp>FIELD:Symbol</stp>
        <stp>TUPLENUM:74</stp>
        <tr r="W76" s="3"/>
      </tp>
      <tp t="e">
        <v>#N/A</v>
        <stp/>
        <stp>STREAM:AppOut</stp>
        <stp>FIELD:Symbol</stp>
        <stp>TUPLENUM:77</stp>
        <tr r="W79" s="3"/>
      </tp>
      <tp t="e">
        <v>#N/A</v>
        <stp/>
        <stp>STREAM:AppOut</stp>
        <stp>FIELD:Symbol</stp>
        <stp>TUPLENUM:76</stp>
        <tr r="W78" s="3"/>
      </tp>
      <tp t="e">
        <v>#N/A</v>
        <stp/>
        <stp>STREAM:AppOut</stp>
        <stp>FIELD:Symbol</stp>
        <stp>TUPLENUM:79</stp>
        <tr r="W81" s="3"/>
      </tp>
      <tp t="e">
        <v>#N/A</v>
        <stp/>
        <stp>STREAM:AppOut</stp>
        <stp>FIELD:Symbol</stp>
        <stp>TUPLENUM:78</stp>
        <tr r="W80" s="3"/>
      </tp>
      <tp t="e">
        <v>#N/A</v>
        <stp/>
        <stp>STREAM:AppOut</stp>
        <stp>FIELD:Symbol</stp>
        <stp>TUPLENUM:61</stp>
        <tr r="W63" s="3"/>
      </tp>
      <tp t="e">
        <v>#N/A</v>
        <stp/>
        <stp>STREAM:AppOut</stp>
        <stp>FIELD:Symbol</stp>
        <stp>TUPLENUM:60</stp>
        <tr r="W62" s="3"/>
      </tp>
      <tp t="e">
        <v>#N/A</v>
        <stp/>
        <stp>STREAM:AppOut</stp>
        <stp>FIELD:Symbol</stp>
        <stp>TUPLENUM:63</stp>
        <tr r="W65" s="3"/>
      </tp>
      <tp t="e">
        <v>#N/A</v>
        <stp/>
        <stp>STREAM:AppOut</stp>
        <stp>FIELD:Symbol</stp>
        <stp>TUPLENUM:62</stp>
        <tr r="W64" s="3"/>
      </tp>
      <tp t="e">
        <v>#N/A</v>
        <stp/>
        <stp>STREAM:AppOut</stp>
        <stp>FIELD:Symbol</stp>
        <stp>TUPLENUM:65</stp>
        <tr r="W67" s="3"/>
      </tp>
      <tp t="e">
        <v>#N/A</v>
        <stp/>
        <stp>STREAM:AppOut</stp>
        <stp>FIELD:Symbol</stp>
        <stp>TUPLENUM:64</stp>
        <tr r="W66" s="3"/>
      </tp>
      <tp t="e">
        <v>#N/A</v>
        <stp/>
        <stp>STREAM:AppOut</stp>
        <stp>FIELD:Symbol</stp>
        <stp>TUPLENUM:67</stp>
        <tr r="W69" s="3"/>
      </tp>
      <tp t="e">
        <v>#N/A</v>
        <stp/>
        <stp>STREAM:AppOut</stp>
        <stp>FIELD:Symbol</stp>
        <stp>TUPLENUM:66</stp>
        <tr r="W68" s="3"/>
      </tp>
      <tp t="e">
        <v>#N/A</v>
        <stp/>
        <stp>STREAM:AppOut</stp>
        <stp>FIELD:Symbol</stp>
        <stp>TUPLENUM:69</stp>
        <tr r="W71" s="3"/>
      </tp>
      <tp t="e">
        <v>#N/A</v>
        <stp/>
        <stp>STREAM:AppOut</stp>
        <stp>FIELD:Symbol</stp>
        <stp>TUPLENUM:68</stp>
        <tr r="W70" s="3"/>
      </tp>
      <tp t="e">
        <v>#N/A</v>
        <stp/>
        <stp>STREAM:AppOut</stp>
        <stp>FIELD:Symbol</stp>
        <stp>TUPLENUM:91</stp>
        <tr r="W93" s="3"/>
      </tp>
      <tp t="e">
        <v>#N/A</v>
        <stp/>
        <stp>STREAM:AppOut</stp>
        <stp>FIELD:Symbol</stp>
        <stp>TUPLENUM:90</stp>
        <tr r="W92" s="3"/>
      </tp>
      <tp t="e">
        <v>#N/A</v>
        <stp/>
        <stp>STREAM:AppOut</stp>
        <stp>FIELD:Symbol</stp>
        <stp>TUPLENUM:93</stp>
        <tr r="W95" s="3"/>
      </tp>
      <tp t="e">
        <v>#N/A</v>
        <stp/>
        <stp>STREAM:AppOut</stp>
        <stp>FIELD:Symbol</stp>
        <stp>TUPLENUM:92</stp>
        <tr r="W94" s="3"/>
      </tp>
      <tp t="e">
        <v>#N/A</v>
        <stp/>
        <stp>STREAM:AppOut</stp>
        <stp>FIELD:Symbol</stp>
        <stp>TUPLENUM:95</stp>
        <tr r="W97" s="3"/>
      </tp>
      <tp t="e">
        <v>#N/A</v>
        <stp/>
        <stp>STREAM:AppOut</stp>
        <stp>FIELD:Symbol</stp>
        <stp>TUPLENUM:94</stp>
        <tr r="W96" s="3"/>
      </tp>
      <tp t="e">
        <v>#N/A</v>
        <stp/>
        <stp>STREAM:AppOut</stp>
        <stp>FIELD:Symbol</stp>
        <stp>TUPLENUM:97</stp>
        <tr r="W99" s="3"/>
      </tp>
      <tp t="e">
        <v>#N/A</v>
        <stp/>
        <stp>STREAM:AppOut</stp>
        <stp>FIELD:Symbol</stp>
        <stp>TUPLENUM:96</stp>
        <tr r="W98" s="3"/>
      </tp>
      <tp t="e">
        <v>#N/A</v>
        <stp/>
        <stp>STREAM:AppOut</stp>
        <stp>FIELD:Symbol</stp>
        <stp>TUPLENUM:99</stp>
        <tr r="W101" s="3"/>
      </tp>
      <tp t="e">
        <v>#N/A</v>
        <stp/>
        <stp>STREAM:AppOut</stp>
        <stp>FIELD:Symbol</stp>
        <stp>TUPLENUM:98</stp>
        <tr r="W100" s="3"/>
      </tp>
      <tp t="e">
        <v>#N/A</v>
        <stp/>
        <stp>STREAM:AppOut</stp>
        <stp>FIELD:Symbol</stp>
        <stp>TUPLENUM:81</stp>
        <tr r="W83" s="3"/>
      </tp>
      <tp t="e">
        <v>#N/A</v>
        <stp/>
        <stp>STREAM:AppOut</stp>
        <stp>FIELD:Symbol</stp>
        <stp>TUPLENUM:80</stp>
        <tr r="W82" s="3"/>
      </tp>
      <tp t="e">
        <v>#N/A</v>
        <stp/>
        <stp>STREAM:AppOut</stp>
        <stp>FIELD:Symbol</stp>
        <stp>TUPLENUM:83</stp>
        <tr r="W85" s="3"/>
      </tp>
      <tp t="e">
        <v>#N/A</v>
        <stp/>
        <stp>STREAM:AppOut</stp>
        <stp>FIELD:Symbol</stp>
        <stp>TUPLENUM:82</stp>
        <tr r="W84" s="3"/>
      </tp>
      <tp t="e">
        <v>#N/A</v>
        <stp/>
        <stp>STREAM:AppOut</stp>
        <stp>FIELD:Symbol</stp>
        <stp>TUPLENUM:85</stp>
        <tr r="W87" s="3"/>
      </tp>
      <tp t="e">
        <v>#N/A</v>
        <stp/>
        <stp>STREAM:AppOut</stp>
        <stp>FIELD:Symbol</stp>
        <stp>TUPLENUM:84</stp>
        <tr r="W86" s="3"/>
      </tp>
      <tp t="e">
        <v>#N/A</v>
        <stp/>
        <stp>STREAM:AppOut</stp>
        <stp>FIELD:Symbol</stp>
        <stp>TUPLENUM:87</stp>
        <tr r="W89" s="3"/>
      </tp>
      <tp t="e">
        <v>#N/A</v>
        <stp/>
        <stp>STREAM:AppOut</stp>
        <stp>FIELD:Symbol</stp>
        <stp>TUPLENUM:86</stp>
        <tr r="W88" s="3"/>
      </tp>
      <tp t="e">
        <v>#N/A</v>
        <stp/>
        <stp>STREAM:AppOut</stp>
        <stp>FIELD:Symbol</stp>
        <stp>TUPLENUM:89</stp>
        <tr r="W91" s="3"/>
      </tp>
      <tp t="e">
        <v>#N/A</v>
        <stp/>
        <stp>STREAM:AppOut</stp>
        <stp>FIELD:Symbol</stp>
        <stp>TUPLENUM:88</stp>
        <tr r="W90" s="3"/>
      </tp>
      <tp t="e">
        <v>#N/A</v>
        <stp/>
        <stp>STREAM:AppOut</stp>
        <stp>FIELD:BuySell</stp>
        <stp>TUPLENUM:29</stp>
        <tr r="Y31" s="3"/>
      </tp>
      <tp t="e">
        <v>#N/A</v>
        <stp/>
        <stp>STREAM:AppOut</stp>
        <stp>FIELD:BuySell</stp>
        <stp>TUPLENUM:28</stp>
        <tr r="Y30" s="3"/>
      </tp>
      <tp t="e">
        <v>#N/A</v>
        <stp/>
        <stp>STREAM:AppOut</stp>
        <stp>FIELD:BuySell</stp>
        <stp>TUPLENUM:23</stp>
        <tr r="Y25" s="3"/>
      </tp>
      <tp t="e">
        <v>#N/A</v>
        <stp/>
        <stp>STREAM:AppOut</stp>
        <stp>FIELD:BuySell</stp>
        <stp>TUPLENUM:22</stp>
        <tr r="Y24" s="3"/>
      </tp>
      <tp t="e">
        <v>#N/A</v>
        <stp/>
        <stp>STREAM:AppOut</stp>
        <stp>FIELD:BuySell</stp>
        <stp>TUPLENUM:21</stp>
        <tr r="Y23" s="3"/>
      </tp>
      <tp t="e">
        <v>#N/A</v>
        <stp/>
        <stp>STREAM:AppOut</stp>
        <stp>FIELD:BuySell</stp>
        <stp>TUPLENUM:20</stp>
        <tr r="Y22" s="3"/>
      </tp>
      <tp t="e">
        <v>#N/A</v>
        <stp/>
        <stp>STREAM:AppOut</stp>
        <stp>FIELD:BuySell</stp>
        <stp>TUPLENUM:27</stp>
        <tr r="Y29" s="3"/>
      </tp>
      <tp t="e">
        <v>#N/A</v>
        <stp/>
        <stp>STREAM:AppOut</stp>
        <stp>FIELD:BuySell</stp>
        <stp>TUPLENUM:26</stp>
        <tr r="Y28" s="3"/>
      </tp>
      <tp t="e">
        <v>#N/A</v>
        <stp/>
        <stp>STREAM:AppOut</stp>
        <stp>FIELD:BuySell</stp>
        <stp>TUPLENUM:25</stp>
        <tr r="Y27" s="3"/>
      </tp>
      <tp t="e">
        <v>#N/A</v>
        <stp/>
        <stp>STREAM:AppOut</stp>
        <stp>FIELD:BuySell</stp>
        <stp>TUPLENUM:24</stp>
        <tr r="Y26" s="3"/>
      </tp>
      <tp t="e">
        <v>#N/A</v>
        <stp/>
        <stp>STREAM:AppOut</stp>
        <stp>FIELD:BuySell</stp>
        <stp>TUPLENUM:39</stp>
        <tr r="Y41" s="3"/>
      </tp>
      <tp t="e">
        <v>#N/A</v>
        <stp/>
        <stp>STREAM:AppOut</stp>
        <stp>FIELD:BuySell</stp>
        <stp>TUPLENUM:38</stp>
        <tr r="Y40" s="3"/>
      </tp>
      <tp t="e">
        <v>#N/A</v>
        <stp/>
        <stp>STREAM:AppOut</stp>
        <stp>FIELD:BuySell</stp>
        <stp>TUPLENUM:33</stp>
        <tr r="Y35" s="3"/>
      </tp>
      <tp t="e">
        <v>#N/A</v>
        <stp/>
        <stp>STREAM:AppOut</stp>
        <stp>FIELD:BuySell</stp>
        <stp>TUPLENUM:32</stp>
        <tr r="Y34" s="3"/>
      </tp>
      <tp t="e">
        <v>#N/A</v>
        <stp/>
        <stp>STREAM:AppOut</stp>
        <stp>FIELD:BuySell</stp>
        <stp>TUPLENUM:31</stp>
        <tr r="Y33" s="3"/>
      </tp>
      <tp t="e">
        <v>#N/A</v>
        <stp/>
        <stp>STREAM:AppOut</stp>
        <stp>FIELD:BuySell</stp>
        <stp>TUPLENUM:30</stp>
        <tr r="Y32" s="3"/>
      </tp>
      <tp t="e">
        <v>#N/A</v>
        <stp/>
        <stp>STREAM:AppOut</stp>
        <stp>FIELD:BuySell</stp>
        <stp>TUPLENUM:37</stp>
        <tr r="Y39" s="3"/>
      </tp>
      <tp t="e">
        <v>#N/A</v>
        <stp/>
        <stp>STREAM:AppOut</stp>
        <stp>FIELD:BuySell</stp>
        <stp>TUPLENUM:36</stp>
        <tr r="Y38" s="3"/>
      </tp>
      <tp t="e">
        <v>#N/A</v>
        <stp/>
        <stp>STREAM:AppOut</stp>
        <stp>FIELD:BuySell</stp>
        <stp>TUPLENUM:35</stp>
        <tr r="Y37" s="3"/>
      </tp>
      <tp t="e">
        <v>#N/A</v>
        <stp/>
        <stp>STREAM:AppOut</stp>
        <stp>FIELD:BuySell</stp>
        <stp>TUPLENUM:34</stp>
        <tr r="Y36" s="3"/>
      </tp>
      <tp t="e">
        <v>#N/A</v>
        <stp/>
        <stp>STREAM:AppOut</stp>
        <stp>FIELD:BuySell</stp>
        <stp>TUPLENUM:19</stp>
        <tr r="Y21" s="3"/>
      </tp>
      <tp t="e">
        <v>#N/A</v>
        <stp/>
        <stp>STREAM:AppOut</stp>
        <stp>FIELD:BuySell</stp>
        <stp>TUPLENUM:18</stp>
        <tr r="Y20" s="3"/>
      </tp>
      <tp t="e">
        <v>#N/A</v>
        <stp/>
        <stp>STREAM:AppOut</stp>
        <stp>FIELD:BuySell</stp>
        <stp>TUPLENUM:13</stp>
        <tr r="Y15" s="3"/>
      </tp>
      <tp t="e">
        <v>#N/A</v>
        <stp/>
        <stp>STREAM:AppOut</stp>
        <stp>FIELD:BuySell</stp>
        <stp>TUPLENUM:12</stp>
        <tr r="Y14" s="3"/>
      </tp>
      <tp t="e">
        <v>#N/A</v>
        <stp/>
        <stp>STREAM:AppOut</stp>
        <stp>FIELD:BuySell</stp>
        <stp>TUPLENUM:11</stp>
        <tr r="Y13" s="3"/>
      </tp>
      <tp t="e">
        <v>#N/A</v>
        <stp/>
        <stp>STREAM:AppOut</stp>
        <stp>FIELD:BuySell</stp>
        <stp>TUPLENUM:10</stp>
        <tr r="Y12" s="3"/>
      </tp>
      <tp t="e">
        <v>#N/A</v>
        <stp/>
        <stp>STREAM:AppOut</stp>
        <stp>FIELD:BuySell</stp>
        <stp>TUPLENUM:17</stp>
        <tr r="Y19" s="3"/>
      </tp>
      <tp t="e">
        <v>#N/A</v>
        <stp/>
        <stp>STREAM:AppOut</stp>
        <stp>FIELD:BuySell</stp>
        <stp>TUPLENUM:16</stp>
        <tr r="Y18" s="3"/>
      </tp>
      <tp t="e">
        <v>#N/A</v>
        <stp/>
        <stp>STREAM:AppOut</stp>
        <stp>FIELD:BuySell</stp>
        <stp>TUPLENUM:15</stp>
        <tr r="Y17" s="3"/>
      </tp>
      <tp t="e">
        <v>#N/A</v>
        <stp/>
        <stp>STREAM:AppOut</stp>
        <stp>FIELD:BuySell</stp>
        <stp>TUPLENUM:14</stp>
        <tr r="Y16" s="3"/>
      </tp>
      <tp t="e">
        <v>#N/A</v>
        <stp/>
        <stp>STREAM:AppOut</stp>
        <stp>FIELD:BuySell</stp>
        <stp>TUPLENUM:69</stp>
        <tr r="Y71" s="3"/>
      </tp>
      <tp t="e">
        <v>#N/A</v>
        <stp/>
        <stp>STREAM:AppOut</stp>
        <stp>FIELD:BuySell</stp>
        <stp>TUPLENUM:68</stp>
        <tr r="Y70" s="3"/>
      </tp>
      <tp t="e">
        <v>#N/A</v>
        <stp/>
        <stp>STREAM:AppOut</stp>
        <stp>FIELD:BuySell</stp>
        <stp>TUPLENUM:63</stp>
        <tr r="Y65" s="3"/>
      </tp>
      <tp t="e">
        <v>#N/A</v>
        <stp/>
        <stp>STREAM:AppOut</stp>
        <stp>FIELD:BuySell</stp>
        <stp>TUPLENUM:62</stp>
        <tr r="Y64" s="3"/>
      </tp>
      <tp t="e">
        <v>#N/A</v>
        <stp/>
        <stp>STREAM:AppOut</stp>
        <stp>FIELD:BuySell</stp>
        <stp>TUPLENUM:61</stp>
        <tr r="Y63" s="3"/>
      </tp>
      <tp t="e">
        <v>#N/A</v>
        <stp/>
        <stp>STREAM:AppOut</stp>
        <stp>FIELD:BuySell</stp>
        <stp>TUPLENUM:60</stp>
        <tr r="Y62" s="3"/>
      </tp>
      <tp t="e">
        <v>#N/A</v>
        <stp/>
        <stp>STREAM:AppOut</stp>
        <stp>FIELD:BuySell</stp>
        <stp>TUPLENUM:67</stp>
        <tr r="Y69" s="3"/>
      </tp>
      <tp t="e">
        <v>#N/A</v>
        <stp/>
        <stp>STREAM:AppOut</stp>
        <stp>FIELD:BuySell</stp>
        <stp>TUPLENUM:66</stp>
        <tr r="Y68" s="3"/>
      </tp>
      <tp t="e">
        <v>#N/A</v>
        <stp/>
        <stp>STREAM:AppOut</stp>
        <stp>FIELD:BuySell</stp>
        <stp>TUPLENUM:65</stp>
        <tr r="Y67" s="3"/>
      </tp>
      <tp t="e">
        <v>#N/A</v>
        <stp/>
        <stp>STREAM:AppOut</stp>
        <stp>FIELD:BuySell</stp>
        <stp>TUPLENUM:64</stp>
        <tr r="Y66" s="3"/>
      </tp>
      <tp t="e">
        <v>#N/A</v>
        <stp/>
        <stp>STREAM:AppOut</stp>
        <stp>FIELD:BuySell</stp>
        <stp>TUPLENUM:79</stp>
        <tr r="Y81" s="3"/>
      </tp>
      <tp t="e">
        <v>#N/A</v>
        <stp/>
        <stp>STREAM:AppOut</stp>
        <stp>FIELD:BuySell</stp>
        <stp>TUPLENUM:78</stp>
        <tr r="Y80" s="3"/>
      </tp>
      <tp t="e">
        <v>#N/A</v>
        <stp/>
        <stp>STREAM:AppOut</stp>
        <stp>FIELD:BuySell</stp>
        <stp>TUPLENUM:73</stp>
        <tr r="Y75" s="3"/>
      </tp>
      <tp t="e">
        <v>#N/A</v>
        <stp/>
        <stp>STREAM:AppOut</stp>
        <stp>FIELD:BuySell</stp>
        <stp>TUPLENUM:72</stp>
        <tr r="Y74" s="3"/>
      </tp>
      <tp t="e">
        <v>#N/A</v>
        <stp/>
        <stp>STREAM:AppOut</stp>
        <stp>FIELD:BuySell</stp>
        <stp>TUPLENUM:71</stp>
        <tr r="Y73" s="3"/>
      </tp>
      <tp t="e">
        <v>#N/A</v>
        <stp/>
        <stp>STREAM:AppOut</stp>
        <stp>FIELD:BuySell</stp>
        <stp>TUPLENUM:70</stp>
        <tr r="Y72" s="3"/>
      </tp>
      <tp t="e">
        <v>#N/A</v>
        <stp/>
        <stp>STREAM:AppOut</stp>
        <stp>FIELD:BuySell</stp>
        <stp>TUPLENUM:77</stp>
        <tr r="Y79" s="3"/>
      </tp>
      <tp t="e">
        <v>#N/A</v>
        <stp/>
        <stp>STREAM:AppOut</stp>
        <stp>FIELD:BuySell</stp>
        <stp>TUPLENUM:76</stp>
        <tr r="Y78" s="3"/>
      </tp>
      <tp t="e">
        <v>#N/A</v>
        <stp/>
        <stp>STREAM:AppOut</stp>
        <stp>FIELD:BuySell</stp>
        <stp>TUPLENUM:75</stp>
        <tr r="Y77" s="3"/>
      </tp>
      <tp t="e">
        <v>#N/A</v>
        <stp/>
        <stp>STREAM:AppOut</stp>
        <stp>FIELD:BuySell</stp>
        <stp>TUPLENUM:74</stp>
        <tr r="Y76" s="3"/>
      </tp>
      <tp t="e">
        <v>#N/A</v>
        <stp/>
        <stp>STREAM:AppOut</stp>
        <stp>FIELD:BuySell</stp>
        <stp>TUPLENUM:49</stp>
        <tr r="Y51" s="3"/>
      </tp>
      <tp t="e">
        <v>#N/A</v>
        <stp/>
        <stp>STREAM:AppOut</stp>
        <stp>FIELD:BuySell</stp>
        <stp>TUPLENUM:48</stp>
        <tr r="Y50" s="3"/>
      </tp>
      <tp t="e">
        <v>#N/A</v>
        <stp/>
        <stp>STREAM:AppOut</stp>
        <stp>FIELD:BuySell</stp>
        <stp>TUPLENUM:43</stp>
        <tr r="Y45" s="3"/>
      </tp>
      <tp t="e">
        <v>#N/A</v>
        <stp/>
        <stp>STREAM:AppOut</stp>
        <stp>FIELD:BuySell</stp>
        <stp>TUPLENUM:42</stp>
        <tr r="Y44" s="3"/>
      </tp>
      <tp t="e">
        <v>#N/A</v>
        <stp/>
        <stp>STREAM:AppOut</stp>
        <stp>FIELD:BuySell</stp>
        <stp>TUPLENUM:41</stp>
        <tr r="Y43" s="3"/>
      </tp>
      <tp t="e">
        <v>#N/A</v>
        <stp/>
        <stp>STREAM:AppOut</stp>
        <stp>FIELD:BuySell</stp>
        <stp>TUPLENUM:40</stp>
        <tr r="Y42" s="3"/>
      </tp>
      <tp t="e">
        <v>#N/A</v>
        <stp/>
        <stp>STREAM:AppOut</stp>
        <stp>FIELD:BuySell</stp>
        <stp>TUPLENUM:47</stp>
        <tr r="Y49" s="3"/>
      </tp>
      <tp t="e">
        <v>#N/A</v>
        <stp/>
        <stp>STREAM:AppOut</stp>
        <stp>FIELD:BuySell</stp>
        <stp>TUPLENUM:46</stp>
        <tr r="Y48" s="3"/>
      </tp>
      <tp t="e">
        <v>#N/A</v>
        <stp/>
        <stp>STREAM:AppOut</stp>
        <stp>FIELD:BuySell</stp>
        <stp>TUPLENUM:45</stp>
        <tr r="Y47" s="3"/>
      </tp>
      <tp t="e">
        <v>#N/A</v>
        <stp/>
        <stp>STREAM:AppOut</stp>
        <stp>FIELD:BuySell</stp>
        <stp>TUPLENUM:44</stp>
        <tr r="Y46" s="3"/>
      </tp>
      <tp t="e">
        <v>#N/A</v>
        <stp/>
        <stp>STREAM:AppOut</stp>
        <stp>FIELD:BuySell</stp>
        <stp>TUPLENUM:59</stp>
        <tr r="Y61" s="3"/>
      </tp>
      <tp t="e">
        <v>#N/A</v>
        <stp/>
        <stp>STREAM:AppOut</stp>
        <stp>FIELD:BuySell</stp>
        <stp>TUPLENUM:58</stp>
        <tr r="Y60" s="3"/>
      </tp>
      <tp t="e">
        <v>#N/A</v>
        <stp/>
        <stp>STREAM:AppOut</stp>
        <stp>FIELD:BuySell</stp>
        <stp>TUPLENUM:53</stp>
        <tr r="Y55" s="3"/>
      </tp>
      <tp t="e">
        <v>#N/A</v>
        <stp/>
        <stp>STREAM:AppOut</stp>
        <stp>FIELD:BuySell</stp>
        <stp>TUPLENUM:52</stp>
        <tr r="Y54" s="3"/>
      </tp>
      <tp t="e">
        <v>#N/A</v>
        <stp/>
        <stp>STREAM:AppOut</stp>
        <stp>FIELD:BuySell</stp>
        <stp>TUPLENUM:51</stp>
        <tr r="Y53" s="3"/>
      </tp>
      <tp t="e">
        <v>#N/A</v>
        <stp/>
        <stp>STREAM:AppOut</stp>
        <stp>FIELD:BuySell</stp>
        <stp>TUPLENUM:50</stp>
        <tr r="Y52" s="3"/>
      </tp>
      <tp t="e">
        <v>#N/A</v>
        <stp/>
        <stp>STREAM:AppOut</stp>
        <stp>FIELD:BuySell</stp>
        <stp>TUPLENUM:57</stp>
        <tr r="Y59" s="3"/>
      </tp>
      <tp t="e">
        <v>#N/A</v>
        <stp/>
        <stp>STREAM:AppOut</stp>
        <stp>FIELD:BuySell</stp>
        <stp>TUPLENUM:56</stp>
        <tr r="Y58" s="3"/>
      </tp>
      <tp t="e">
        <v>#N/A</v>
        <stp/>
        <stp>STREAM:AppOut</stp>
        <stp>FIELD:BuySell</stp>
        <stp>TUPLENUM:55</stp>
        <tr r="Y57" s="3"/>
      </tp>
      <tp t="e">
        <v>#N/A</v>
        <stp/>
        <stp>STREAM:AppOut</stp>
        <stp>FIELD:BuySell</stp>
        <stp>TUPLENUM:54</stp>
        <tr r="Y56" s="3"/>
      </tp>
      <tp t="e">
        <v>#N/A</v>
        <stp/>
        <stp>STREAM:AppOut</stp>
        <stp>FIELD:BuySell</stp>
        <stp>TUPLENUM:89</stp>
        <tr r="Y91" s="3"/>
      </tp>
      <tp t="e">
        <v>#N/A</v>
        <stp/>
        <stp>STREAM:AppOut</stp>
        <stp>FIELD:BuySell</stp>
        <stp>TUPLENUM:88</stp>
        <tr r="Y90" s="3"/>
      </tp>
      <tp t="e">
        <v>#N/A</v>
        <stp/>
        <stp>STREAM:AppOut</stp>
        <stp>FIELD:BuySell</stp>
        <stp>TUPLENUM:83</stp>
        <tr r="Y85" s="3"/>
      </tp>
      <tp t="e">
        <v>#N/A</v>
        <stp/>
        <stp>STREAM:AppOut</stp>
        <stp>FIELD:BuySell</stp>
        <stp>TUPLENUM:82</stp>
        <tr r="Y84" s="3"/>
      </tp>
      <tp t="e">
        <v>#N/A</v>
        <stp/>
        <stp>STREAM:AppOut</stp>
        <stp>FIELD:BuySell</stp>
        <stp>TUPLENUM:81</stp>
        <tr r="Y83" s="3"/>
      </tp>
      <tp t="e">
        <v>#N/A</v>
        <stp/>
        <stp>STREAM:AppOut</stp>
        <stp>FIELD:BuySell</stp>
        <stp>TUPLENUM:80</stp>
        <tr r="Y82" s="3"/>
      </tp>
      <tp t="e">
        <v>#N/A</v>
        <stp/>
        <stp>STREAM:AppOut</stp>
        <stp>FIELD:BuySell</stp>
        <stp>TUPLENUM:87</stp>
        <tr r="Y89" s="3"/>
      </tp>
      <tp t="e">
        <v>#N/A</v>
        <stp/>
        <stp>STREAM:AppOut</stp>
        <stp>FIELD:BuySell</stp>
        <stp>TUPLENUM:86</stp>
        <tr r="Y88" s="3"/>
      </tp>
      <tp t="e">
        <v>#N/A</v>
        <stp/>
        <stp>STREAM:AppOut</stp>
        <stp>FIELD:BuySell</stp>
        <stp>TUPLENUM:85</stp>
        <tr r="Y87" s="3"/>
      </tp>
      <tp t="e">
        <v>#N/A</v>
        <stp/>
        <stp>STREAM:AppOut</stp>
        <stp>FIELD:BuySell</stp>
        <stp>TUPLENUM:84</stp>
        <tr r="Y86" s="3"/>
      </tp>
      <tp t="e">
        <v>#N/A</v>
        <stp/>
        <stp>STREAM:AppOut</stp>
        <stp>FIELD:BuySell</stp>
        <stp>TUPLENUM:99</stp>
        <tr r="Y101" s="3"/>
      </tp>
      <tp t="e">
        <v>#N/A</v>
        <stp/>
        <stp>STREAM:AppOut</stp>
        <stp>FIELD:BuySell</stp>
        <stp>TUPLENUM:98</stp>
        <tr r="Y100" s="3"/>
      </tp>
      <tp t="e">
        <v>#N/A</v>
        <stp/>
        <stp>STREAM:AppOut</stp>
        <stp>FIELD:BuySell</stp>
        <stp>TUPLENUM:93</stp>
        <tr r="Y95" s="3"/>
      </tp>
      <tp t="e">
        <v>#N/A</v>
        <stp/>
        <stp>STREAM:AppOut</stp>
        <stp>FIELD:BuySell</stp>
        <stp>TUPLENUM:92</stp>
        <tr r="Y94" s="3"/>
      </tp>
      <tp t="e">
        <v>#N/A</v>
        <stp/>
        <stp>STREAM:AppOut</stp>
        <stp>FIELD:BuySell</stp>
        <stp>TUPLENUM:91</stp>
        <tr r="Y93" s="3"/>
      </tp>
      <tp t="e">
        <v>#N/A</v>
        <stp/>
        <stp>STREAM:AppOut</stp>
        <stp>FIELD:BuySell</stp>
        <stp>TUPLENUM:90</stp>
        <tr r="Y92" s="3"/>
      </tp>
      <tp t="e">
        <v>#N/A</v>
        <stp/>
        <stp>STREAM:AppOut</stp>
        <stp>FIELD:BuySell</stp>
        <stp>TUPLENUM:97</stp>
        <tr r="Y99" s="3"/>
      </tp>
      <tp t="e">
        <v>#N/A</v>
        <stp/>
        <stp>STREAM:AppOut</stp>
        <stp>FIELD:BuySell</stp>
        <stp>TUPLENUM:96</stp>
        <tr r="Y98" s="3"/>
      </tp>
      <tp t="e">
        <v>#N/A</v>
        <stp/>
        <stp>STREAM:AppOut</stp>
        <stp>FIELD:BuySell</stp>
        <stp>TUPLENUM:95</stp>
        <tr r="Y97" s="3"/>
      </tp>
      <tp t="e">
        <v>#N/A</v>
        <stp/>
        <stp>STREAM:AppOut</stp>
        <stp>FIELD:BuySell</stp>
        <stp>TUPLENUM:94</stp>
        <tr r="Y96" s="3"/>
      </tp>
      <tp t="e">
        <v>#N/A</v>
        <stp/>
        <stp>STREAM:AppOut</stp>
        <stp>FIELD:AvgPx</stp>
        <stp>TUPLENUM:8</stp>
        <tr r="AC10" s="3"/>
      </tp>
      <tp t="e">
        <v>#N/A</v>
        <stp/>
        <stp>STREAM:AppOut</stp>
        <stp>FIELD:AvgPx</stp>
        <stp>TUPLENUM:9</stp>
        <tr r="AC11" s="3"/>
      </tp>
      <tp t="e">
        <v>#N/A</v>
        <stp/>
        <stp>STREAM:AppOut</stp>
        <stp>FIELD:AvgPx</stp>
        <stp>TUPLENUM:4</stp>
        <tr r="AC6" s="3"/>
      </tp>
      <tp t="e">
        <v>#N/A</v>
        <stp/>
        <stp>STREAM:AppOut</stp>
        <stp>FIELD:AvgPx</stp>
        <stp>TUPLENUM:5</stp>
        <tr r="AC7" s="3"/>
      </tp>
      <tp t="e">
        <v>#N/A</v>
        <stp/>
        <stp>STREAM:AppOut</stp>
        <stp>FIELD:AvgPx</stp>
        <stp>TUPLENUM:6</stp>
        <tr r="AC8" s="3"/>
      </tp>
      <tp t="e">
        <v>#N/A</v>
        <stp/>
        <stp>STREAM:AppOut</stp>
        <stp>FIELD:AvgPx</stp>
        <stp>TUPLENUM:7</stp>
        <tr r="AC9" s="3"/>
      </tp>
      <tp t="e">
        <v>#N/A</v>
        <stp/>
        <stp>STREAM:AppOut</stp>
        <stp>FIELD:AvgPx</stp>
        <stp>TUPLENUM:1</stp>
        <tr r="AC3" s="3"/>
      </tp>
      <tp t="e">
        <v>#N/A</v>
        <stp/>
        <stp>STREAM:AppOut</stp>
        <stp>FIELD:AvgPx</stp>
        <stp>TUPLENUM:2</stp>
        <tr r="AC4" s="3"/>
      </tp>
      <tp t="e">
        <v>#N/A</v>
        <stp/>
        <stp>STREAM:AppOut</stp>
        <stp>FIELD:AvgPx</stp>
        <stp>TUPLENUM:3</stp>
        <tr r="AC5" s="3"/>
      </tp>
      <tp t="e">
        <v>#N/A</v>
        <stp/>
        <stp>STREAM:AppOut</stp>
        <stp>FIELD:CumQty</stp>
        <stp>LOCALFILTER:AppOrdID=="18_11_231_008"</stp>
        <tr r="N9" s="3"/>
      </tp>
      <tp t="e">
        <v>#N/A</v>
        <stp/>
        <stp>STREAM:AppOut</stp>
        <stp>FIELD:CumQty</stp>
        <stp>LOCALFILTER:AppOrdID=="18_11_231_009"</stp>
        <tr r="N10" s="3"/>
      </tp>
      <tp t="e">
        <v>#N/A</v>
        <stp/>
        <stp>STREAM:AppOut</stp>
        <stp>FIELD:CumQty</stp>
        <stp>LOCALFILTER:AppOrdID=="18_11_231_006"</stp>
        <tr r="N7" s="3"/>
      </tp>
      <tp t="e">
        <v>#N/A</v>
        <stp/>
        <stp>STREAM:AppOut</stp>
        <stp>FIELD:CumQty</stp>
        <stp>LOCALFILTER:AppOrdID=="18_11_231_007"</stp>
        <tr r="N8" s="3"/>
      </tp>
      <tp t="e">
        <v>#N/A</v>
        <stp/>
        <stp>STREAM:AppOut</stp>
        <stp>FIELD:CumQty</stp>
        <stp>LOCALFILTER:AppOrdID=="18_11_231_004"</stp>
        <tr r="N5" s="3"/>
      </tp>
      <tp t="e">
        <v>#N/A</v>
        <stp/>
        <stp>STREAM:AppOut</stp>
        <stp>FIELD:CumQty</stp>
        <stp>LOCALFILTER:AppOrdID=="18_11_231_005"</stp>
        <tr r="N6" s="3"/>
      </tp>
      <tp t="e">
        <v>#N/A</v>
        <stp/>
        <stp>STREAM:AppOut</stp>
        <stp>FIELD:CumQty</stp>
        <stp>LOCALFILTER:AppOrdID=="18_11_231_002"</stp>
        <tr r="N3" s="3"/>
      </tp>
      <tp t="e">
        <v>#N/A</v>
        <stp/>
        <stp>STREAM:AppOut</stp>
        <stp>FIELD:CumQty</stp>
        <stp>LOCALFILTER:AppOrdID=="18_11_231_003"</stp>
        <tr r="N4" s="3"/>
      </tp>
      <tp t="e">
        <v>#N/A</v>
        <stp/>
        <stp>STREAM:AppOut</stp>
        <stp>FIELD:CumQty</stp>
        <stp>LOCALFILTER:AppOrdID=="18_11_231_001"</stp>
        <tr r="N2" s="3"/>
      </tp>
      <tp t="e">
        <v>#N/A</v>
        <stp/>
        <stp>STREAM:AppOut</stp>
        <stp>FIELD:TradeDate</stp>
        <stp>TUPLENUM:140</stp>
        <tr r="AI142" s="3"/>
      </tp>
      <tp t="e">
        <v>#N/A</v>
        <stp/>
        <stp>STREAM:AppOut</stp>
        <stp>FIELD:TradeDate</stp>
        <stp>TUPLENUM:139</stp>
        <tr r="AI141" s="3"/>
      </tp>
      <tp t="e">
        <v>#N/A</v>
        <stp/>
        <stp>STREAM:AppOut</stp>
        <stp>FIELD:TradeDate</stp>
        <stp>TUPLENUM:138</stp>
        <tr r="AI140" s="3"/>
      </tp>
      <tp t="e">
        <v>#N/A</v>
        <stp/>
        <stp>STREAM:AppOut</stp>
        <stp>FIELD:TradeDate</stp>
        <stp>TUPLENUM:131</stp>
        <tr r="AI133" s="3"/>
      </tp>
      <tp t="e">
        <v>#N/A</v>
        <stp/>
        <stp>STREAM:AppOut</stp>
        <stp>FIELD:TradeDate</stp>
        <stp>TUPLENUM:130</stp>
        <tr r="AI132" s="3"/>
      </tp>
      <tp t="e">
        <v>#N/A</v>
        <stp/>
        <stp>STREAM:AppOut</stp>
        <stp>FIELD:TradeDate</stp>
        <stp>TUPLENUM:133</stp>
        <tr r="AI135" s="3"/>
      </tp>
      <tp t="e">
        <v>#N/A</v>
        <stp/>
        <stp>STREAM:AppOut</stp>
        <stp>FIELD:TradeDate</stp>
        <stp>TUPLENUM:132</stp>
        <tr r="AI134" s="3"/>
      </tp>
      <tp t="e">
        <v>#N/A</v>
        <stp/>
        <stp>STREAM:AppOut</stp>
        <stp>FIELD:TradeDate</stp>
        <stp>TUPLENUM:135</stp>
        <tr r="AI137" s="3"/>
      </tp>
      <tp t="e">
        <v>#N/A</v>
        <stp/>
        <stp>STREAM:AppOut</stp>
        <stp>FIELD:TradeDate</stp>
        <stp>TUPLENUM:134</stp>
        <tr r="AI136" s="3"/>
      </tp>
      <tp t="e">
        <v>#N/A</v>
        <stp/>
        <stp>STREAM:AppOut</stp>
        <stp>FIELD:TradeDate</stp>
        <stp>TUPLENUM:137</stp>
        <tr r="AI139" s="3"/>
      </tp>
      <tp t="e">
        <v>#N/A</v>
        <stp/>
        <stp>STREAM:AppOut</stp>
        <stp>FIELD:TradeDate</stp>
        <stp>TUPLENUM:136</stp>
        <tr r="AI138" s="3"/>
      </tp>
      <tp t="e">
        <v>#N/A</v>
        <stp/>
        <stp>STREAM:AppOut</stp>
        <stp>FIELD:TradeDate</stp>
        <stp>TUPLENUM:129</stp>
        <tr r="AI131" s="3"/>
      </tp>
      <tp t="e">
        <v>#N/A</v>
        <stp/>
        <stp>STREAM:AppOut</stp>
        <stp>FIELD:TradeDate</stp>
        <stp>TUPLENUM:128</stp>
        <tr r="AI130" s="3"/>
      </tp>
      <tp t="e">
        <v>#N/A</v>
        <stp/>
        <stp>STREAM:AppOut</stp>
        <stp>FIELD:TradeDate</stp>
        <stp>TUPLENUM:121</stp>
        <tr r="AI123" s="3"/>
      </tp>
      <tp t="e">
        <v>#N/A</v>
        <stp/>
        <stp>STREAM:AppOut</stp>
        <stp>FIELD:TradeDate</stp>
        <stp>TUPLENUM:120</stp>
        <tr r="AI122" s="3"/>
      </tp>
      <tp t="e">
        <v>#N/A</v>
        <stp/>
        <stp>STREAM:AppOut</stp>
        <stp>FIELD:TradeDate</stp>
        <stp>TUPLENUM:123</stp>
        <tr r="AI125" s="3"/>
      </tp>
      <tp t="e">
        <v>#N/A</v>
        <stp/>
        <stp>STREAM:AppOut</stp>
        <stp>FIELD:TradeDate</stp>
        <stp>TUPLENUM:122</stp>
        <tr r="AI124" s="3"/>
      </tp>
      <tp t="e">
        <v>#N/A</v>
        <stp/>
        <stp>STREAM:AppOut</stp>
        <stp>FIELD:TradeDate</stp>
        <stp>TUPLENUM:125</stp>
        <tr r="AI127" s="3"/>
      </tp>
      <tp t="e">
        <v>#N/A</v>
        <stp/>
        <stp>STREAM:AppOut</stp>
        <stp>FIELD:TradeDate</stp>
        <stp>TUPLENUM:124</stp>
        <tr r="AI126" s="3"/>
      </tp>
      <tp t="e">
        <v>#N/A</v>
        <stp/>
        <stp>STREAM:AppOut</stp>
        <stp>FIELD:TradeDate</stp>
        <stp>TUPLENUM:127</stp>
        <tr r="AI129" s="3"/>
      </tp>
      <tp t="e">
        <v>#N/A</v>
        <stp/>
        <stp>STREAM:AppOut</stp>
        <stp>FIELD:TradeDate</stp>
        <stp>TUPLENUM:126</stp>
        <tr r="AI128" s="3"/>
      </tp>
      <tp t="e">
        <v>#N/A</v>
        <stp/>
        <stp>STREAM:AppOut</stp>
        <stp>FIELD:TradeDate</stp>
        <stp>TUPLENUM:119</stp>
        <tr r="AI121" s="3"/>
      </tp>
      <tp t="e">
        <v>#N/A</v>
        <stp/>
        <stp>STREAM:AppOut</stp>
        <stp>FIELD:TradeDate</stp>
        <stp>TUPLENUM:118</stp>
        <tr r="AI120" s="3"/>
      </tp>
      <tp t="e">
        <v>#N/A</v>
        <stp/>
        <stp>STREAM:AppOut</stp>
        <stp>FIELD:TradeDate</stp>
        <stp>TUPLENUM:111</stp>
        <tr r="AI113" s="3"/>
      </tp>
      <tp t="e">
        <v>#N/A</v>
        <stp/>
        <stp>STREAM:AppOut</stp>
        <stp>FIELD:TradeDate</stp>
        <stp>TUPLENUM:110</stp>
        <tr r="AI112" s="3"/>
      </tp>
      <tp t="e">
        <v>#N/A</v>
        <stp/>
        <stp>STREAM:AppOut</stp>
        <stp>FIELD:TradeDate</stp>
        <stp>TUPLENUM:113</stp>
        <tr r="AI115" s="3"/>
      </tp>
      <tp t="e">
        <v>#N/A</v>
        <stp/>
        <stp>STREAM:AppOut</stp>
        <stp>FIELD:TradeDate</stp>
        <stp>TUPLENUM:112</stp>
        <tr r="AI114" s="3"/>
      </tp>
      <tp t="e">
        <v>#N/A</v>
        <stp/>
        <stp>STREAM:AppOut</stp>
        <stp>FIELD:TradeDate</stp>
        <stp>TUPLENUM:115</stp>
        <tr r="AI117" s="3"/>
      </tp>
      <tp t="e">
        <v>#N/A</v>
        <stp/>
        <stp>STREAM:AppOut</stp>
        <stp>FIELD:TradeDate</stp>
        <stp>TUPLENUM:114</stp>
        <tr r="AI116" s="3"/>
      </tp>
      <tp t="e">
        <v>#N/A</v>
        <stp/>
        <stp>STREAM:AppOut</stp>
        <stp>FIELD:TradeDate</stp>
        <stp>TUPLENUM:117</stp>
        <tr r="AI119" s="3"/>
      </tp>
      <tp t="e">
        <v>#N/A</v>
        <stp/>
        <stp>STREAM:AppOut</stp>
        <stp>FIELD:TradeDate</stp>
        <stp>TUPLENUM:116</stp>
        <tr r="AI118" s="3"/>
      </tp>
      <tp t="e">
        <v>#N/A</v>
        <stp/>
        <stp>STREAM:AppOut</stp>
        <stp>FIELD:TradeDate</stp>
        <stp>TUPLENUM:109</stp>
        <tr r="AI111" s="3"/>
      </tp>
      <tp t="e">
        <v>#N/A</v>
        <stp/>
        <stp>STREAM:AppOut</stp>
        <stp>FIELD:TradeDate</stp>
        <stp>TUPLENUM:108</stp>
        <tr r="AI110" s="3"/>
      </tp>
      <tp t="e">
        <v>#N/A</v>
        <stp/>
        <stp>STREAM:AppOut</stp>
        <stp>FIELD:TradeDate</stp>
        <stp>TUPLENUM:101</stp>
        <tr r="AI103" s="3"/>
      </tp>
      <tp t="e">
        <v>#N/A</v>
        <stp/>
        <stp>STREAM:AppOut</stp>
        <stp>FIELD:TradeDate</stp>
        <stp>TUPLENUM:100</stp>
        <tr r="AI102" s="3"/>
      </tp>
      <tp t="e">
        <v>#N/A</v>
        <stp/>
        <stp>STREAM:AppOut</stp>
        <stp>FIELD:TradeDate</stp>
        <stp>TUPLENUM:103</stp>
        <tr r="AI105" s="3"/>
      </tp>
      <tp t="e">
        <v>#N/A</v>
        <stp/>
        <stp>STREAM:AppOut</stp>
        <stp>FIELD:TradeDate</stp>
        <stp>TUPLENUM:102</stp>
        <tr r="AI104" s="3"/>
      </tp>
      <tp t="e">
        <v>#N/A</v>
        <stp/>
        <stp>STREAM:AppOut</stp>
        <stp>FIELD:TradeDate</stp>
        <stp>TUPLENUM:105</stp>
        <tr r="AI107" s="3"/>
      </tp>
      <tp t="e">
        <v>#N/A</v>
        <stp/>
        <stp>STREAM:AppOut</stp>
        <stp>FIELD:TradeDate</stp>
        <stp>TUPLENUM:104</stp>
        <tr r="AI106" s="3"/>
      </tp>
      <tp t="e">
        <v>#N/A</v>
        <stp/>
        <stp>STREAM:AppOut</stp>
        <stp>FIELD:TradeDate</stp>
        <stp>TUPLENUM:107</stp>
        <tr r="AI109" s="3"/>
      </tp>
      <tp t="e">
        <v>#N/A</v>
        <stp/>
        <stp>STREAM:AppOut</stp>
        <stp>FIELD:TradeDate</stp>
        <stp>TUPLENUM:106</stp>
        <tr r="AI108" s="3"/>
      </tp>
      <tp t="e">
        <v>#N/A</v>
        <stp/>
        <stp>STREAM:AppOut</stp>
        <stp>FIELD:ReplacedbyReqID</stp>
        <stp>TUPLENUM:59</stp>
        <tr r="AF61" s="3"/>
      </tp>
      <tp t="e">
        <v>#N/A</v>
        <stp/>
        <stp>STREAM:AppOut</stp>
        <stp>FIELD:ReplacedbyReqID</stp>
        <stp>TUPLENUM:58</stp>
        <tr r="AF60" s="3"/>
      </tp>
      <tp t="e">
        <v>#N/A</v>
        <stp/>
        <stp>STREAM:AppOut</stp>
        <stp>FIELD:ReplacedbyReqID</stp>
        <stp>TUPLENUM:55</stp>
        <tr r="AF57" s="3"/>
      </tp>
      <tp t="e">
        <v>#N/A</v>
        <stp/>
        <stp>STREAM:AppOut</stp>
        <stp>FIELD:ReplacedbyReqID</stp>
        <stp>TUPLENUM:54</stp>
        <tr r="AF56" s="3"/>
      </tp>
      <tp t="e">
        <v>#N/A</v>
        <stp/>
        <stp>STREAM:AppOut</stp>
        <stp>FIELD:ReplacedbyReqID</stp>
        <stp>TUPLENUM:57</stp>
        <tr r="AF59" s="3"/>
      </tp>
      <tp t="e">
        <v>#N/A</v>
        <stp/>
        <stp>STREAM:AppOut</stp>
        <stp>FIELD:ReplacedbyReqID</stp>
        <stp>TUPLENUM:56</stp>
        <tr r="AF58" s="3"/>
      </tp>
      <tp t="e">
        <v>#N/A</v>
        <stp/>
        <stp>STREAM:AppOut</stp>
        <stp>FIELD:ReplacedbyReqID</stp>
        <stp>TUPLENUM:51</stp>
        <tr r="AF53" s="3"/>
      </tp>
      <tp t="e">
        <v>#N/A</v>
        <stp/>
        <stp>STREAM:AppOut</stp>
        <stp>FIELD:ReplacedbyReqID</stp>
        <stp>TUPLENUM:50</stp>
        <tr r="AF52" s="3"/>
      </tp>
      <tp t="e">
        <v>#N/A</v>
        <stp/>
        <stp>STREAM:AppOut</stp>
        <stp>FIELD:ReplacedbyReqID</stp>
        <stp>TUPLENUM:53</stp>
        <tr r="AF55" s="3"/>
      </tp>
      <tp t="e">
        <v>#N/A</v>
        <stp/>
        <stp>STREAM:AppOut</stp>
        <stp>FIELD:ReplacedbyReqID</stp>
        <stp>TUPLENUM:52</stp>
        <tr r="AF54" s="3"/>
      </tp>
      <tp t="e">
        <v>#N/A</v>
        <stp/>
        <stp>STREAM:AppOut</stp>
        <stp>FIELD:ReplacedbyReqID</stp>
        <stp>TUPLENUM:49</stp>
        <tr r="AF51" s="3"/>
      </tp>
      <tp t="e">
        <v>#N/A</v>
        <stp/>
        <stp>STREAM:AppOut</stp>
        <stp>FIELD:ReplacedbyReqID</stp>
        <stp>TUPLENUM:48</stp>
        <tr r="AF50" s="3"/>
      </tp>
      <tp t="e">
        <v>#N/A</v>
        <stp/>
        <stp>STREAM:AppOut</stp>
        <stp>FIELD:ReplacedbyReqID</stp>
        <stp>TUPLENUM:45</stp>
        <tr r="AF47" s="3"/>
      </tp>
      <tp t="e">
        <v>#N/A</v>
        <stp/>
        <stp>STREAM:AppOut</stp>
        <stp>FIELD:ReplacedbyReqID</stp>
        <stp>TUPLENUM:44</stp>
        <tr r="AF46" s="3"/>
      </tp>
      <tp t="e">
        <v>#N/A</v>
        <stp/>
        <stp>STREAM:AppOut</stp>
        <stp>FIELD:ReplacedbyReqID</stp>
        <stp>TUPLENUM:47</stp>
        <tr r="AF49" s="3"/>
      </tp>
      <tp t="e">
        <v>#N/A</v>
        <stp/>
        <stp>STREAM:AppOut</stp>
        <stp>FIELD:ReplacedbyReqID</stp>
        <stp>TUPLENUM:46</stp>
        <tr r="AF48" s="3"/>
      </tp>
      <tp t="e">
        <v>#N/A</v>
        <stp/>
        <stp>STREAM:AppOut</stp>
        <stp>FIELD:ReplacedbyReqID</stp>
        <stp>TUPLENUM:41</stp>
        <tr r="AF43" s="3"/>
      </tp>
      <tp t="e">
        <v>#N/A</v>
        <stp/>
        <stp>STREAM:AppOut</stp>
        <stp>FIELD:ReplacedbyReqID</stp>
        <stp>TUPLENUM:40</stp>
        <tr r="AF42" s="3"/>
      </tp>
      <tp t="e">
        <v>#N/A</v>
        <stp/>
        <stp>STREAM:AppOut</stp>
        <stp>FIELD:ReplacedbyReqID</stp>
        <stp>TUPLENUM:43</stp>
        <tr r="AF45" s="3"/>
      </tp>
      <tp t="e">
        <v>#N/A</v>
        <stp/>
        <stp>STREAM:AppOut</stp>
        <stp>FIELD:ReplacedbyReqID</stp>
        <stp>TUPLENUM:42</stp>
        <tr r="AF44" s="3"/>
      </tp>
      <tp t="e">
        <v>#N/A</v>
        <stp/>
        <stp>STREAM:AppOut</stp>
        <stp>FIELD:ReplacedbyReqID</stp>
        <stp>TUPLENUM:79</stp>
        <tr r="AF81" s="3"/>
      </tp>
      <tp t="e">
        <v>#N/A</v>
        <stp/>
        <stp>STREAM:AppOut</stp>
        <stp>FIELD:ReplacedbyReqID</stp>
        <stp>TUPLENUM:78</stp>
        <tr r="AF80" s="3"/>
      </tp>
      <tp t="e">
        <v>#N/A</v>
        <stp/>
        <stp>STREAM:AppOut</stp>
        <stp>FIELD:ReplacedbyReqID</stp>
        <stp>TUPLENUM:75</stp>
        <tr r="AF77" s="3"/>
      </tp>
      <tp t="e">
        <v>#N/A</v>
        <stp/>
        <stp>STREAM:AppOut</stp>
        <stp>FIELD:ReplacedbyReqID</stp>
        <stp>TUPLENUM:74</stp>
        <tr r="AF76" s="3"/>
      </tp>
      <tp t="e">
        <v>#N/A</v>
        <stp/>
        <stp>STREAM:AppOut</stp>
        <stp>FIELD:ReplacedbyReqID</stp>
        <stp>TUPLENUM:77</stp>
        <tr r="AF79" s="3"/>
      </tp>
      <tp t="e">
        <v>#N/A</v>
        <stp/>
        <stp>STREAM:AppOut</stp>
        <stp>FIELD:ReplacedbyReqID</stp>
        <stp>TUPLENUM:76</stp>
        <tr r="AF78" s="3"/>
      </tp>
      <tp t="e">
        <v>#N/A</v>
        <stp/>
        <stp>STREAM:AppOut</stp>
        <stp>FIELD:ReplacedbyReqID</stp>
        <stp>TUPLENUM:71</stp>
        <tr r="AF73" s="3"/>
      </tp>
      <tp t="e">
        <v>#N/A</v>
        <stp/>
        <stp>STREAM:AppOut</stp>
        <stp>FIELD:ReplacedbyReqID</stp>
        <stp>TUPLENUM:70</stp>
        <tr r="AF72" s="3"/>
      </tp>
      <tp t="e">
        <v>#N/A</v>
        <stp/>
        <stp>STREAM:AppOut</stp>
        <stp>FIELD:ReplacedbyReqID</stp>
        <stp>TUPLENUM:73</stp>
        <tr r="AF75" s="3"/>
      </tp>
      <tp t="e">
        <v>#N/A</v>
        <stp/>
        <stp>STREAM:AppOut</stp>
        <stp>FIELD:ReplacedbyReqID</stp>
        <stp>TUPLENUM:72</stp>
        <tr r="AF74" s="3"/>
      </tp>
      <tp t="e">
        <v>#N/A</v>
        <stp/>
        <stp>STREAM:AppOut</stp>
        <stp>FIELD:ReplacedbyReqID</stp>
        <stp>TUPLENUM:69</stp>
        <tr r="AF71" s="3"/>
      </tp>
      <tp t="e">
        <v>#N/A</v>
        <stp/>
        <stp>STREAM:AppOut</stp>
        <stp>FIELD:ReplacedbyReqID</stp>
        <stp>TUPLENUM:68</stp>
        <tr r="AF70" s="3"/>
      </tp>
      <tp t="e">
        <v>#N/A</v>
        <stp/>
        <stp>STREAM:AppOut</stp>
        <stp>FIELD:ReplacedbyReqID</stp>
        <stp>TUPLENUM:65</stp>
        <tr r="AF67" s="3"/>
      </tp>
      <tp t="e">
        <v>#N/A</v>
        <stp/>
        <stp>STREAM:AppOut</stp>
        <stp>FIELD:ReplacedbyReqID</stp>
        <stp>TUPLENUM:64</stp>
        <tr r="AF66" s="3"/>
      </tp>
      <tp t="e">
        <v>#N/A</v>
        <stp/>
        <stp>STREAM:AppOut</stp>
        <stp>FIELD:ReplacedbyReqID</stp>
        <stp>TUPLENUM:67</stp>
        <tr r="AF69" s="3"/>
      </tp>
      <tp t="e">
        <v>#N/A</v>
        <stp/>
        <stp>STREAM:AppOut</stp>
        <stp>FIELD:ReplacedbyReqID</stp>
        <stp>TUPLENUM:66</stp>
        <tr r="AF68" s="3"/>
      </tp>
      <tp t="e">
        <v>#N/A</v>
        <stp/>
        <stp>STREAM:AppOut</stp>
        <stp>FIELD:ReplacedbyReqID</stp>
        <stp>TUPLENUM:61</stp>
        <tr r="AF63" s="3"/>
      </tp>
      <tp t="e">
        <v>#N/A</v>
        <stp/>
        <stp>STREAM:AppOut</stp>
        <stp>FIELD:ReplacedbyReqID</stp>
        <stp>TUPLENUM:60</stp>
        <tr r="AF62" s="3"/>
      </tp>
      <tp t="e">
        <v>#N/A</v>
        <stp/>
        <stp>STREAM:AppOut</stp>
        <stp>FIELD:ReplacedbyReqID</stp>
        <stp>TUPLENUM:63</stp>
        <tr r="AF65" s="3"/>
      </tp>
      <tp t="e">
        <v>#N/A</v>
        <stp/>
        <stp>STREAM:AppOut</stp>
        <stp>FIELD:ReplacedbyReqID</stp>
        <stp>TUPLENUM:62</stp>
        <tr r="AF64" s="3"/>
      </tp>
      <tp t="e">
        <v>#N/A</v>
        <stp/>
        <stp>STREAM:AppOut</stp>
        <stp>FIELD:ReplacedbyReqID</stp>
        <stp>TUPLENUM:19</stp>
        <tr r="AF21" s="3"/>
      </tp>
      <tp t="e">
        <v>#N/A</v>
        <stp/>
        <stp>STREAM:AppOut</stp>
        <stp>FIELD:ReplacedbyReqID</stp>
        <stp>TUPLENUM:18</stp>
        <tr r="AF20" s="3"/>
      </tp>
      <tp t="e">
        <v>#N/A</v>
        <stp/>
        <stp>STREAM:AppOut</stp>
        <stp>FIELD:ReplacedbyReqID</stp>
        <stp>TUPLENUM:15</stp>
        <tr r="AF17" s="3"/>
      </tp>
      <tp t="e">
        <v>#N/A</v>
        <stp/>
        <stp>STREAM:AppOut</stp>
        <stp>FIELD:ReplacedbyReqID</stp>
        <stp>TUPLENUM:14</stp>
        <tr r="AF16" s="3"/>
      </tp>
      <tp t="e">
        <v>#N/A</v>
        <stp/>
        <stp>STREAM:AppOut</stp>
        <stp>FIELD:ReplacedbyReqID</stp>
        <stp>TUPLENUM:17</stp>
        <tr r="AF19" s="3"/>
      </tp>
      <tp t="e">
        <v>#N/A</v>
        <stp/>
        <stp>STREAM:AppOut</stp>
        <stp>FIELD:ReplacedbyReqID</stp>
        <stp>TUPLENUM:16</stp>
        <tr r="AF18" s="3"/>
      </tp>
      <tp t="e">
        <v>#N/A</v>
        <stp/>
        <stp>STREAM:AppOut</stp>
        <stp>FIELD:ReplacedbyReqID</stp>
        <stp>TUPLENUM:11</stp>
        <tr r="AF13" s="3"/>
      </tp>
      <tp t="e">
        <v>#N/A</v>
        <stp/>
        <stp>STREAM:AppOut</stp>
        <stp>FIELD:ReplacedbyReqID</stp>
        <stp>TUPLENUM:10</stp>
        <tr r="AF12" s="3"/>
      </tp>
      <tp t="e">
        <v>#N/A</v>
        <stp/>
        <stp>STREAM:AppOut</stp>
        <stp>FIELD:ReplacedbyReqID</stp>
        <stp>TUPLENUM:13</stp>
        <tr r="AF15" s="3"/>
      </tp>
      <tp t="e">
        <v>#N/A</v>
        <stp/>
        <stp>STREAM:AppOut</stp>
        <stp>FIELD:ReplacedbyReqID</stp>
        <stp>TUPLENUM:12</stp>
        <tr r="AF14" s="3"/>
      </tp>
      <tp t="e">
        <v>#N/A</v>
        <stp/>
        <stp>STREAM:AppOut</stp>
        <stp>FIELD:ReplacedbyReqID</stp>
        <stp>TUPLENUM:39</stp>
        <tr r="AF41" s="3"/>
      </tp>
      <tp t="e">
        <v>#N/A</v>
        <stp/>
        <stp>STREAM:AppOut</stp>
        <stp>FIELD:ReplacedbyReqID</stp>
        <stp>TUPLENUM:38</stp>
        <tr r="AF40" s="3"/>
      </tp>
      <tp t="e">
        <v>#N/A</v>
        <stp/>
        <stp>STREAM:AppOut</stp>
        <stp>FIELD:ReplacedbyReqID</stp>
        <stp>TUPLENUM:35</stp>
        <tr r="AF37" s="3"/>
      </tp>
      <tp t="e">
        <v>#N/A</v>
        <stp/>
        <stp>STREAM:AppOut</stp>
        <stp>FIELD:ReplacedbyReqID</stp>
        <stp>TUPLENUM:34</stp>
        <tr r="AF36" s="3"/>
      </tp>
      <tp t="e">
        <v>#N/A</v>
        <stp/>
        <stp>STREAM:AppOut</stp>
        <stp>FIELD:ReplacedbyReqID</stp>
        <stp>TUPLENUM:37</stp>
        <tr r="AF39" s="3"/>
      </tp>
      <tp t="e">
        <v>#N/A</v>
        <stp/>
        <stp>STREAM:AppOut</stp>
        <stp>FIELD:ReplacedbyReqID</stp>
        <stp>TUPLENUM:36</stp>
        <tr r="AF38" s="3"/>
      </tp>
      <tp t="e">
        <v>#N/A</v>
        <stp/>
        <stp>STREAM:AppOut</stp>
        <stp>FIELD:ReplacedbyReqID</stp>
        <stp>TUPLENUM:31</stp>
        <tr r="AF33" s="3"/>
      </tp>
      <tp t="e">
        <v>#N/A</v>
        <stp/>
        <stp>STREAM:AppOut</stp>
        <stp>FIELD:ReplacedbyReqID</stp>
        <stp>TUPLENUM:30</stp>
        <tr r="AF32" s="3"/>
      </tp>
      <tp t="e">
        <v>#N/A</v>
        <stp/>
        <stp>STREAM:AppOut</stp>
        <stp>FIELD:ReplacedbyReqID</stp>
        <stp>TUPLENUM:33</stp>
        <tr r="AF35" s="3"/>
      </tp>
      <tp t="e">
        <v>#N/A</v>
        <stp/>
        <stp>STREAM:AppOut</stp>
        <stp>FIELD:ReplacedbyReqID</stp>
        <stp>TUPLENUM:32</stp>
        <tr r="AF34" s="3"/>
      </tp>
      <tp t="e">
        <v>#N/A</v>
        <stp/>
        <stp>STREAM:AppOut</stp>
        <stp>FIELD:ReplacedbyReqID</stp>
        <stp>TUPLENUM:29</stp>
        <tr r="AF31" s="3"/>
      </tp>
      <tp t="e">
        <v>#N/A</v>
        <stp/>
        <stp>STREAM:AppOut</stp>
        <stp>FIELD:ReplacedbyReqID</stp>
        <stp>TUPLENUM:28</stp>
        <tr r="AF30" s="3"/>
      </tp>
      <tp t="e">
        <v>#N/A</v>
        <stp/>
        <stp>STREAM:AppOut</stp>
        <stp>FIELD:ReplacedbyReqID</stp>
        <stp>TUPLENUM:25</stp>
        <tr r="AF27" s="3"/>
      </tp>
      <tp t="e">
        <v>#N/A</v>
        <stp/>
        <stp>STREAM:AppOut</stp>
        <stp>FIELD:ReplacedbyReqID</stp>
        <stp>TUPLENUM:24</stp>
        <tr r="AF26" s="3"/>
      </tp>
      <tp t="e">
        <v>#N/A</v>
        <stp/>
        <stp>STREAM:AppOut</stp>
        <stp>FIELD:ReplacedbyReqID</stp>
        <stp>TUPLENUM:27</stp>
        <tr r="AF29" s="3"/>
      </tp>
      <tp t="e">
        <v>#N/A</v>
        <stp/>
        <stp>STREAM:AppOut</stp>
        <stp>FIELD:ReplacedbyReqID</stp>
        <stp>TUPLENUM:26</stp>
        <tr r="AF28" s="3"/>
      </tp>
      <tp t="e">
        <v>#N/A</v>
        <stp/>
        <stp>STREAM:AppOut</stp>
        <stp>FIELD:ReplacedbyReqID</stp>
        <stp>TUPLENUM:21</stp>
        <tr r="AF23" s="3"/>
      </tp>
      <tp t="e">
        <v>#N/A</v>
        <stp/>
        <stp>STREAM:AppOut</stp>
        <stp>FIELD:ReplacedbyReqID</stp>
        <stp>TUPLENUM:20</stp>
        <tr r="AF22" s="3"/>
      </tp>
      <tp t="e">
        <v>#N/A</v>
        <stp/>
        <stp>STREAM:AppOut</stp>
        <stp>FIELD:ReplacedbyReqID</stp>
        <stp>TUPLENUM:23</stp>
        <tr r="AF25" s="3"/>
      </tp>
      <tp t="e">
        <v>#N/A</v>
        <stp/>
        <stp>STREAM:AppOut</stp>
        <stp>FIELD:ReplacedbyReqID</stp>
        <stp>TUPLENUM:22</stp>
        <tr r="AF24" s="3"/>
      </tp>
      <tp t="e">
        <v>#N/A</v>
        <stp/>
        <stp>STREAM:AppOut</stp>
        <stp>FIELD:ReplacedbyReqID</stp>
        <stp>TUPLENUM:99</stp>
        <tr r="AF101" s="3"/>
      </tp>
      <tp t="e">
        <v>#N/A</v>
        <stp/>
        <stp>STREAM:AppOut</stp>
        <stp>FIELD:ReplacedbyReqID</stp>
        <stp>TUPLENUM:98</stp>
        <tr r="AF100" s="3"/>
      </tp>
      <tp t="e">
        <v>#N/A</v>
        <stp/>
        <stp>STREAM:AppOut</stp>
        <stp>FIELD:ReplacedbyReqID</stp>
        <stp>TUPLENUM:95</stp>
        <tr r="AF97" s="3"/>
      </tp>
      <tp t="e">
        <v>#N/A</v>
        <stp/>
        <stp>STREAM:AppOut</stp>
        <stp>FIELD:ReplacedbyReqID</stp>
        <stp>TUPLENUM:94</stp>
        <tr r="AF96" s="3"/>
      </tp>
      <tp t="e">
        <v>#N/A</v>
        <stp/>
        <stp>STREAM:AppOut</stp>
        <stp>FIELD:ReplacedbyReqID</stp>
        <stp>TUPLENUM:97</stp>
        <tr r="AF99" s="3"/>
      </tp>
      <tp t="e">
        <v>#N/A</v>
        <stp/>
        <stp>STREAM:AppOut</stp>
        <stp>FIELD:ReplacedbyReqID</stp>
        <stp>TUPLENUM:96</stp>
        <tr r="AF98" s="3"/>
      </tp>
      <tp t="e">
        <v>#N/A</v>
        <stp/>
        <stp>STREAM:AppOut</stp>
        <stp>FIELD:ReplacedbyReqID</stp>
        <stp>TUPLENUM:91</stp>
        <tr r="AF93" s="3"/>
      </tp>
      <tp t="e">
        <v>#N/A</v>
        <stp/>
        <stp>STREAM:AppOut</stp>
        <stp>FIELD:ReplacedbyReqID</stp>
        <stp>TUPLENUM:90</stp>
        <tr r="AF92" s="3"/>
      </tp>
      <tp t="e">
        <v>#N/A</v>
        <stp/>
        <stp>STREAM:AppOut</stp>
        <stp>FIELD:ReplacedbyReqID</stp>
        <stp>TUPLENUM:93</stp>
        <tr r="AF95" s="3"/>
      </tp>
      <tp t="e">
        <v>#N/A</v>
        <stp/>
        <stp>STREAM:AppOut</stp>
        <stp>FIELD:ReplacedbyReqID</stp>
        <stp>TUPLENUM:92</stp>
        <tr r="AF94" s="3"/>
      </tp>
      <tp t="e">
        <v>#N/A</v>
        <stp/>
        <stp>STREAM:AppOut</stp>
        <stp>FIELD:ReplacedbyReqID</stp>
        <stp>TUPLENUM:89</stp>
        <tr r="AF91" s="3"/>
      </tp>
      <tp t="e">
        <v>#N/A</v>
        <stp/>
        <stp>STREAM:AppOut</stp>
        <stp>FIELD:ReplacedbyReqID</stp>
        <stp>TUPLENUM:88</stp>
        <tr r="AF90" s="3"/>
      </tp>
      <tp t="e">
        <v>#N/A</v>
        <stp/>
        <stp>STREAM:AppOut</stp>
        <stp>FIELD:ReplacedbyReqID</stp>
        <stp>TUPLENUM:85</stp>
        <tr r="AF87" s="3"/>
      </tp>
      <tp t="e">
        <v>#N/A</v>
        <stp/>
        <stp>STREAM:AppOut</stp>
        <stp>FIELD:ReplacedbyReqID</stp>
        <stp>TUPLENUM:84</stp>
        <tr r="AF86" s="3"/>
      </tp>
      <tp t="e">
        <v>#N/A</v>
        <stp/>
        <stp>STREAM:AppOut</stp>
        <stp>FIELD:ReplacedbyReqID</stp>
        <stp>TUPLENUM:87</stp>
        <tr r="AF89" s="3"/>
      </tp>
      <tp t="e">
        <v>#N/A</v>
        <stp/>
        <stp>STREAM:AppOut</stp>
        <stp>FIELD:ReplacedbyReqID</stp>
        <stp>TUPLENUM:86</stp>
        <tr r="AF88" s="3"/>
      </tp>
      <tp t="e">
        <v>#N/A</v>
        <stp/>
        <stp>STREAM:AppOut</stp>
        <stp>FIELD:ReplacedbyReqID</stp>
        <stp>TUPLENUM:81</stp>
        <tr r="AF83" s="3"/>
      </tp>
      <tp t="e">
        <v>#N/A</v>
        <stp/>
        <stp>STREAM:AppOut</stp>
        <stp>FIELD:ReplacedbyReqID</stp>
        <stp>TUPLENUM:80</stp>
        <tr r="AF82" s="3"/>
      </tp>
      <tp t="e">
        <v>#N/A</v>
        <stp/>
        <stp>STREAM:AppOut</stp>
        <stp>FIELD:ReplacedbyReqID</stp>
        <stp>TUPLENUM:83</stp>
        <tr r="AF85" s="3"/>
      </tp>
      <tp t="e">
        <v>#N/A</v>
        <stp/>
        <stp>STREAM:AppOut</stp>
        <stp>FIELD:ReplacedbyReqID</stp>
        <stp>TUPLENUM:82</stp>
        <tr r="AF84" s="3"/>
      </tp>
      <tp t="e">
        <v>#N/A</v>
        <stp/>
        <stp>STREAM:AppOut</stp>
        <stp>FIELD:AppCxlRplID</stp>
        <stp>TUPLENUM:2</stp>
        <tr r="V4" s="3"/>
      </tp>
      <tp t="e">
        <v>#N/A</v>
        <stp/>
        <stp>STREAM:AppOut</stp>
        <stp>FIELD:AppCxlRplID</stp>
        <stp>TUPLENUM:3</stp>
        <tr r="V5" s="3"/>
      </tp>
      <tp t="e">
        <v>#N/A</v>
        <stp/>
        <stp>STREAM:AppOut</stp>
        <stp>FIELD:AppCxlRplID</stp>
        <stp>TUPLENUM:1</stp>
        <tr r="V3" s="3"/>
      </tp>
      <tp t="e">
        <v>#N/A</v>
        <stp/>
        <stp>STREAM:AppOut</stp>
        <stp>FIELD:AppCxlRplID</stp>
        <stp>TUPLENUM:6</stp>
        <tr r="V8" s="3"/>
      </tp>
      <tp t="e">
        <v>#N/A</v>
        <stp/>
        <stp>STREAM:AppOut</stp>
        <stp>FIELD:AppCxlRplID</stp>
        <stp>TUPLENUM:7</stp>
        <tr r="V9" s="3"/>
      </tp>
      <tp t="e">
        <v>#N/A</v>
        <stp/>
        <stp>STREAM:AppOut</stp>
        <stp>FIELD:AppCxlRplID</stp>
        <stp>TUPLENUM:4</stp>
        <tr r="V6" s="3"/>
      </tp>
      <tp t="e">
        <v>#N/A</v>
        <stp/>
        <stp>STREAM:AppOut</stp>
        <stp>FIELD:AppCxlRplID</stp>
        <stp>TUPLENUM:5</stp>
        <tr r="V7" s="3"/>
      </tp>
      <tp t="e">
        <v>#N/A</v>
        <stp/>
        <stp>STREAM:AppOut</stp>
        <stp>FIELD:AppCxlRplID</stp>
        <stp>TUPLENUM:8</stp>
        <tr r="V10" s="3"/>
      </tp>
      <tp t="e">
        <v>#N/A</v>
        <stp/>
        <stp>STREAM:AppOut</stp>
        <stp>FIELD:AppCxlRplID</stp>
        <stp>TUPLENUM:9</stp>
        <tr r="V11" s="3"/>
      </tp>
      <tp t="e">
        <v>#N/A</v>
        <stp/>
        <stp>STREAM:AppOut</stp>
        <stp>FIELD:Price</stp>
        <stp>TUPLENUM:9</stp>
        <tr r="Z11" s="3"/>
      </tp>
      <tp t="e">
        <v>#N/A</v>
        <stp/>
        <stp>STREAM:AppOut</stp>
        <stp>FIELD:Price</stp>
        <stp>TUPLENUM:8</stp>
        <tr r="Z10" s="3"/>
      </tp>
      <tp t="e">
        <v>#N/A</v>
        <stp/>
        <stp>STREAM:AppOut</stp>
        <stp>FIELD:Price</stp>
        <stp>TUPLENUM:7</stp>
        <tr r="Z9" s="3"/>
      </tp>
      <tp t="e">
        <v>#N/A</v>
        <stp/>
        <stp>STREAM:AppOut</stp>
        <stp>FIELD:Price</stp>
        <stp>TUPLENUM:6</stp>
        <tr r="Z8" s="3"/>
      </tp>
      <tp t="e">
        <v>#N/A</v>
        <stp/>
        <stp>STREAM:AppOut</stp>
        <stp>FIELD:Price</stp>
        <stp>TUPLENUM:5</stp>
        <tr r="Z7" s="3"/>
      </tp>
      <tp t="e">
        <v>#N/A</v>
        <stp/>
        <stp>STREAM:AppOut</stp>
        <stp>FIELD:Price</stp>
        <stp>TUPLENUM:4</stp>
        <tr r="Z6" s="3"/>
      </tp>
      <tp t="e">
        <v>#N/A</v>
        <stp/>
        <stp>STREAM:AppOut</stp>
        <stp>FIELD:Price</stp>
        <stp>TUPLENUM:3</stp>
        <tr r="Z5" s="3"/>
      </tp>
      <tp t="e">
        <v>#N/A</v>
        <stp/>
        <stp>STREAM:AppOut</stp>
        <stp>FIELD:Price</stp>
        <stp>TUPLENUM:2</stp>
        <tr r="Z4" s="3"/>
      </tp>
      <tp t="e">
        <v>#N/A</v>
        <stp/>
        <stp>STREAM:AppOut</stp>
        <stp>FIELD:Price</stp>
        <stp>TUPLENUM:1</stp>
        <tr r="Z3" s="3"/>
      </tp>
      <tp t="e">
        <v>#N/A</v>
        <stp/>
        <stp>STREAM:AppOut</stp>
        <stp>FIELD:Symbol</stp>
        <stp>TUPLENUM:119</stp>
        <tr r="W121" s="3"/>
      </tp>
      <tp t="e">
        <v>#N/A</v>
        <stp/>
        <stp>STREAM:AppOut</stp>
        <stp>FIELD:Symbol</stp>
        <stp>TUPLENUM:118</stp>
        <tr r="W120" s="3"/>
      </tp>
      <tp t="e">
        <v>#N/A</v>
        <stp/>
        <stp>STREAM:AppOut</stp>
        <stp>FIELD:Symbol</stp>
        <stp>TUPLENUM:113</stp>
        <tr r="W115" s="3"/>
      </tp>
      <tp t="e">
        <v>#N/A</v>
        <stp/>
        <stp>STREAM:AppOut</stp>
        <stp>FIELD:Symbol</stp>
        <stp>TUPLENUM:112</stp>
        <tr r="W114" s="3"/>
      </tp>
      <tp t="e">
        <v>#N/A</v>
        <stp/>
        <stp>STREAM:AppOut</stp>
        <stp>FIELD:Symbol</stp>
        <stp>TUPLENUM:111</stp>
        <tr r="W113" s="3"/>
      </tp>
      <tp t="e">
        <v>#N/A</v>
        <stp/>
        <stp>STREAM:AppOut</stp>
        <stp>FIELD:Symbol</stp>
        <stp>TUPLENUM:110</stp>
        <tr r="W112" s="3"/>
      </tp>
      <tp t="e">
        <v>#N/A</v>
        <stp/>
        <stp>STREAM:AppOut</stp>
        <stp>FIELD:Symbol</stp>
        <stp>TUPLENUM:117</stp>
        <tr r="W119" s="3"/>
      </tp>
      <tp t="e">
        <v>#N/A</v>
        <stp/>
        <stp>STREAM:AppOut</stp>
        <stp>FIELD:Symbol</stp>
        <stp>TUPLENUM:116</stp>
        <tr r="W118" s="3"/>
      </tp>
      <tp t="e">
        <v>#N/A</v>
        <stp/>
        <stp>STREAM:AppOut</stp>
        <stp>FIELD:Symbol</stp>
        <stp>TUPLENUM:115</stp>
        <tr r="W117" s="3"/>
      </tp>
      <tp t="e">
        <v>#N/A</v>
        <stp/>
        <stp>STREAM:AppOut</stp>
        <stp>FIELD:Symbol</stp>
        <stp>TUPLENUM:114</stp>
        <tr r="W116" s="3"/>
      </tp>
      <tp t="e">
        <v>#N/A</v>
        <stp/>
        <stp>STREAM:AppOut</stp>
        <stp>FIELD:Symbol</stp>
        <stp>TUPLENUM:109</stp>
        <tr r="W111" s="3"/>
      </tp>
      <tp t="e">
        <v>#N/A</v>
        <stp/>
        <stp>STREAM:AppOut</stp>
        <stp>FIELD:Symbol</stp>
        <stp>TUPLENUM:108</stp>
        <tr r="W110" s="3"/>
      </tp>
      <tp t="e">
        <v>#N/A</v>
        <stp/>
        <stp>STREAM:AppOut</stp>
        <stp>FIELD:Symbol</stp>
        <stp>TUPLENUM:103</stp>
        <tr r="W105" s="3"/>
      </tp>
      <tp t="e">
        <v>#N/A</v>
        <stp/>
        <stp>STREAM:AppOut</stp>
        <stp>FIELD:Symbol</stp>
        <stp>TUPLENUM:102</stp>
        <tr r="W104" s="3"/>
      </tp>
      <tp t="e">
        <v>#N/A</v>
        <stp/>
        <stp>STREAM:AppOut</stp>
        <stp>FIELD:Symbol</stp>
        <stp>TUPLENUM:101</stp>
        <tr r="W103" s="3"/>
      </tp>
      <tp t="e">
        <v>#N/A</v>
        <stp/>
        <stp>STREAM:AppOut</stp>
        <stp>FIELD:Symbol</stp>
        <stp>TUPLENUM:100</stp>
        <tr r="W102" s="3"/>
      </tp>
      <tp t="e">
        <v>#N/A</v>
        <stp/>
        <stp>STREAM:AppOut</stp>
        <stp>FIELD:Symbol</stp>
        <stp>TUPLENUM:107</stp>
        <tr r="W109" s="3"/>
      </tp>
      <tp t="e">
        <v>#N/A</v>
        <stp/>
        <stp>STREAM:AppOut</stp>
        <stp>FIELD:Symbol</stp>
        <stp>TUPLENUM:106</stp>
        <tr r="W108" s="3"/>
      </tp>
      <tp t="e">
        <v>#N/A</v>
        <stp/>
        <stp>STREAM:AppOut</stp>
        <stp>FIELD:Symbol</stp>
        <stp>TUPLENUM:105</stp>
        <tr r="W107" s="3"/>
      </tp>
      <tp t="e">
        <v>#N/A</v>
        <stp/>
        <stp>STREAM:AppOut</stp>
        <stp>FIELD:Symbol</stp>
        <stp>TUPLENUM:104</stp>
        <tr r="W106" s="3"/>
      </tp>
      <tp t="e">
        <v>#N/A</v>
        <stp/>
        <stp>STREAM:AppOut</stp>
        <stp>FIELD:Symbol</stp>
        <stp>TUPLENUM:139</stp>
        <tr r="W141" s="3"/>
      </tp>
      <tp t="e">
        <v>#N/A</v>
        <stp/>
        <stp>STREAM:AppOut</stp>
        <stp>FIELD:Symbol</stp>
        <stp>TUPLENUM:138</stp>
        <tr r="W140" s="3"/>
      </tp>
      <tp t="e">
        <v>#N/A</v>
        <stp/>
        <stp>STREAM:AppOut</stp>
        <stp>FIELD:Symbol</stp>
        <stp>TUPLENUM:133</stp>
        <tr r="W135" s="3"/>
      </tp>
      <tp t="e">
        <v>#N/A</v>
        <stp/>
        <stp>STREAM:AppOut</stp>
        <stp>FIELD:Symbol</stp>
        <stp>TUPLENUM:132</stp>
        <tr r="W134" s="3"/>
      </tp>
      <tp t="e">
        <v>#N/A</v>
        <stp/>
        <stp>STREAM:AppOut</stp>
        <stp>FIELD:Symbol</stp>
        <stp>TUPLENUM:131</stp>
        <tr r="W133" s="3"/>
      </tp>
      <tp t="e">
        <v>#N/A</v>
        <stp/>
        <stp>STREAM:AppOut</stp>
        <stp>FIELD:Symbol</stp>
        <stp>TUPLENUM:130</stp>
        <tr r="W132" s="3"/>
      </tp>
      <tp t="e">
        <v>#N/A</v>
        <stp/>
        <stp>STREAM:AppOut</stp>
        <stp>FIELD:Symbol</stp>
        <stp>TUPLENUM:137</stp>
        <tr r="W139" s="3"/>
      </tp>
      <tp t="e">
        <v>#N/A</v>
        <stp/>
        <stp>STREAM:AppOut</stp>
        <stp>FIELD:Symbol</stp>
        <stp>TUPLENUM:136</stp>
        <tr r="W138" s="3"/>
      </tp>
      <tp t="e">
        <v>#N/A</v>
        <stp/>
        <stp>STREAM:AppOut</stp>
        <stp>FIELD:Symbol</stp>
        <stp>TUPLENUM:135</stp>
        <tr r="W137" s="3"/>
      </tp>
      <tp t="e">
        <v>#N/A</v>
        <stp/>
        <stp>STREAM:AppOut</stp>
        <stp>FIELD:Symbol</stp>
        <stp>TUPLENUM:134</stp>
        <tr r="W136" s="3"/>
      </tp>
      <tp t="e">
        <v>#N/A</v>
        <stp/>
        <stp>STREAM:AppOut</stp>
        <stp>FIELD:Symbol</stp>
        <stp>TUPLENUM:129</stp>
        <tr r="W131" s="3"/>
      </tp>
      <tp t="e">
        <v>#N/A</v>
        <stp/>
        <stp>STREAM:AppOut</stp>
        <stp>FIELD:Symbol</stp>
        <stp>TUPLENUM:128</stp>
        <tr r="W130" s="3"/>
      </tp>
      <tp t="e">
        <v>#N/A</v>
        <stp/>
        <stp>STREAM:AppOut</stp>
        <stp>FIELD:Symbol</stp>
        <stp>TUPLENUM:123</stp>
        <tr r="W125" s="3"/>
      </tp>
      <tp t="e">
        <v>#N/A</v>
        <stp/>
        <stp>STREAM:AppOut</stp>
        <stp>FIELD:Symbol</stp>
        <stp>TUPLENUM:122</stp>
        <tr r="W124" s="3"/>
      </tp>
      <tp t="e">
        <v>#N/A</v>
        <stp/>
        <stp>STREAM:AppOut</stp>
        <stp>FIELD:Symbol</stp>
        <stp>TUPLENUM:121</stp>
        <tr r="W123" s="3"/>
      </tp>
      <tp t="e">
        <v>#N/A</v>
        <stp/>
        <stp>STREAM:AppOut</stp>
        <stp>FIELD:Symbol</stp>
        <stp>TUPLENUM:120</stp>
        <tr r="W122" s="3"/>
      </tp>
      <tp t="e">
        <v>#N/A</v>
        <stp/>
        <stp>STREAM:AppOut</stp>
        <stp>FIELD:Symbol</stp>
        <stp>TUPLENUM:127</stp>
        <tr r="W129" s="3"/>
      </tp>
      <tp t="e">
        <v>#N/A</v>
        <stp/>
        <stp>STREAM:AppOut</stp>
        <stp>FIELD:Symbol</stp>
        <stp>TUPLENUM:126</stp>
        <tr r="W128" s="3"/>
      </tp>
      <tp t="e">
        <v>#N/A</v>
        <stp/>
        <stp>STREAM:AppOut</stp>
        <stp>FIELD:Symbol</stp>
        <stp>TUPLENUM:125</stp>
        <tr r="W127" s="3"/>
      </tp>
      <tp t="e">
        <v>#N/A</v>
        <stp/>
        <stp>STREAM:AppOut</stp>
        <stp>FIELD:Symbol</stp>
        <stp>TUPLENUM:124</stp>
        <tr r="W126" s="3"/>
      </tp>
      <tp t="e">
        <v>#N/A</v>
        <stp/>
        <stp>STREAM:AppOut</stp>
        <stp>FIELD:Symbol</stp>
        <stp>TUPLENUM:140</stp>
        <tr r="W142" s="3"/>
      </tp>
      <tp t="e">
        <v>#N/A</v>
        <stp/>
        <stp>STREAM:AppOut</stp>
        <stp>FIELD:OrderStatus</stp>
        <stp>TUPLENUM:140</stp>
        <tr r="X142" s="3"/>
      </tp>
      <tp t="e">
        <v>#N/A</v>
        <stp/>
        <stp>STREAM:AppOut</stp>
        <stp>FIELD:OrderStatus</stp>
        <stp>TUPLENUM:118</stp>
        <tr r="X120" s="3"/>
      </tp>
      <tp t="e">
        <v>#N/A</v>
        <stp/>
        <stp>STREAM:AppOut</stp>
        <stp>FIELD:OrderStatus</stp>
        <stp>TUPLENUM:119</stp>
        <tr r="X121" s="3"/>
      </tp>
      <tp t="e">
        <v>#N/A</v>
        <stp/>
        <stp>STREAM:AppOut</stp>
        <stp>FIELD:OrderStatus</stp>
        <stp>TUPLENUM:116</stp>
        <tr r="X118" s="3"/>
      </tp>
      <tp t="e">
        <v>#N/A</v>
        <stp/>
        <stp>STREAM:AppOut</stp>
        <stp>FIELD:OrderStatus</stp>
        <stp>TUPLENUM:117</stp>
        <tr r="X119" s="3"/>
      </tp>
      <tp t="e">
        <v>#N/A</v>
        <stp/>
        <stp>STREAM:AppOut</stp>
        <stp>FIELD:OrderStatus</stp>
        <stp>TUPLENUM:114</stp>
        <tr r="X116" s="3"/>
      </tp>
      <tp t="e">
        <v>#N/A</v>
        <stp/>
        <stp>STREAM:AppOut</stp>
        <stp>FIELD:OrderStatus</stp>
        <stp>TUPLENUM:115</stp>
        <tr r="X117" s="3"/>
      </tp>
      <tp t="e">
        <v>#N/A</v>
        <stp/>
        <stp>STREAM:AppOut</stp>
        <stp>FIELD:OrderStatus</stp>
        <stp>TUPLENUM:112</stp>
        <tr r="X114" s="3"/>
      </tp>
      <tp t="e">
        <v>#N/A</v>
        <stp/>
        <stp>STREAM:AppOut</stp>
        <stp>FIELD:OrderStatus</stp>
        <stp>TUPLENUM:113</stp>
        <tr r="X115" s="3"/>
      </tp>
      <tp t="e">
        <v>#N/A</v>
        <stp/>
        <stp>STREAM:AppOut</stp>
        <stp>FIELD:OrderStatus</stp>
        <stp>TUPLENUM:110</stp>
        <tr r="X112" s="3"/>
      </tp>
      <tp t="e">
        <v>#N/A</v>
        <stp/>
        <stp>STREAM:AppOut</stp>
        <stp>FIELD:OrderStatus</stp>
        <stp>TUPLENUM:111</stp>
        <tr r="X113" s="3"/>
      </tp>
      <tp t="e">
        <v>#N/A</v>
        <stp/>
        <stp>STREAM:AppOut</stp>
        <stp>FIELD:OrderStatus</stp>
        <stp>TUPLENUM:108</stp>
        <tr r="X110" s="3"/>
      </tp>
      <tp t="e">
        <v>#N/A</v>
        <stp/>
        <stp>STREAM:AppOut</stp>
        <stp>FIELD:OrderStatus</stp>
        <stp>TUPLENUM:109</stp>
        <tr r="X111" s="3"/>
      </tp>
      <tp t="e">
        <v>#N/A</v>
        <stp/>
        <stp>STREAM:AppOut</stp>
        <stp>FIELD:OrderStatus</stp>
        <stp>TUPLENUM:106</stp>
        <tr r="X108" s="3"/>
      </tp>
      <tp t="e">
        <v>#N/A</v>
        <stp/>
        <stp>STREAM:AppOut</stp>
        <stp>FIELD:OrderStatus</stp>
        <stp>TUPLENUM:107</stp>
        <tr r="X109" s="3"/>
      </tp>
      <tp t="e">
        <v>#N/A</v>
        <stp/>
        <stp>STREAM:AppOut</stp>
        <stp>FIELD:OrderStatus</stp>
        <stp>TUPLENUM:104</stp>
        <tr r="X106" s="3"/>
      </tp>
      <tp t="e">
        <v>#N/A</v>
        <stp/>
        <stp>STREAM:AppOut</stp>
        <stp>FIELD:OrderStatus</stp>
        <stp>TUPLENUM:105</stp>
        <tr r="X107" s="3"/>
      </tp>
      <tp t="e">
        <v>#N/A</v>
        <stp/>
        <stp>STREAM:AppOut</stp>
        <stp>FIELD:OrderStatus</stp>
        <stp>TUPLENUM:102</stp>
        <tr r="X104" s="3"/>
      </tp>
      <tp t="e">
        <v>#N/A</v>
        <stp/>
        <stp>STREAM:AppOut</stp>
        <stp>FIELD:OrderStatus</stp>
        <stp>TUPLENUM:103</stp>
        <tr r="X105" s="3"/>
      </tp>
      <tp t="e">
        <v>#N/A</v>
        <stp/>
        <stp>STREAM:AppOut</stp>
        <stp>FIELD:OrderStatus</stp>
        <stp>TUPLENUM:100</stp>
        <tr r="X102" s="3"/>
      </tp>
      <tp t="e">
        <v>#N/A</v>
        <stp/>
        <stp>STREAM:AppOut</stp>
        <stp>FIELD:OrderStatus</stp>
        <stp>TUPLENUM:101</stp>
        <tr r="X103" s="3"/>
      </tp>
      <tp t="e">
        <v>#N/A</v>
        <stp/>
        <stp>STREAM:AppOut</stp>
        <stp>FIELD:OrderStatus</stp>
        <stp>TUPLENUM:138</stp>
        <tr r="X140" s="3"/>
      </tp>
      <tp t="e">
        <v>#N/A</v>
        <stp/>
        <stp>STREAM:AppOut</stp>
        <stp>FIELD:OrderStatus</stp>
        <stp>TUPLENUM:139</stp>
        <tr r="X141" s="3"/>
      </tp>
      <tp t="e">
        <v>#N/A</v>
        <stp/>
        <stp>STREAM:AppOut</stp>
        <stp>FIELD:OrderStatus</stp>
        <stp>TUPLENUM:136</stp>
        <tr r="X138" s="3"/>
      </tp>
      <tp t="e">
        <v>#N/A</v>
        <stp/>
        <stp>STREAM:AppOut</stp>
        <stp>FIELD:OrderStatus</stp>
        <stp>TUPLENUM:137</stp>
        <tr r="X139" s="3"/>
      </tp>
      <tp t="e">
        <v>#N/A</v>
        <stp/>
        <stp>STREAM:AppOut</stp>
        <stp>FIELD:OrderStatus</stp>
        <stp>TUPLENUM:134</stp>
        <tr r="X136" s="3"/>
      </tp>
      <tp t="e">
        <v>#N/A</v>
        <stp/>
        <stp>STREAM:AppOut</stp>
        <stp>FIELD:OrderStatus</stp>
        <stp>TUPLENUM:135</stp>
        <tr r="X137" s="3"/>
      </tp>
      <tp t="e">
        <v>#N/A</v>
        <stp/>
        <stp>STREAM:AppOut</stp>
        <stp>FIELD:OrderStatus</stp>
        <stp>TUPLENUM:132</stp>
        <tr r="X134" s="3"/>
      </tp>
      <tp t="e">
        <v>#N/A</v>
        <stp/>
        <stp>STREAM:AppOut</stp>
        <stp>FIELD:OrderStatus</stp>
        <stp>TUPLENUM:133</stp>
        <tr r="X135" s="3"/>
      </tp>
      <tp t="e">
        <v>#N/A</v>
        <stp/>
        <stp>STREAM:AppOut</stp>
        <stp>FIELD:OrderStatus</stp>
        <stp>TUPLENUM:130</stp>
        <tr r="X132" s="3"/>
      </tp>
      <tp t="e">
        <v>#N/A</v>
        <stp/>
        <stp>STREAM:AppOut</stp>
        <stp>FIELD:OrderStatus</stp>
        <stp>TUPLENUM:131</stp>
        <tr r="X133" s="3"/>
      </tp>
      <tp t="e">
        <v>#N/A</v>
        <stp/>
        <stp>STREAM:AppOut</stp>
        <stp>FIELD:OrderStatus</stp>
        <stp>TUPLENUM:128</stp>
        <tr r="X130" s="3"/>
      </tp>
      <tp t="e">
        <v>#N/A</v>
        <stp/>
        <stp>STREAM:AppOut</stp>
        <stp>FIELD:OrderStatus</stp>
        <stp>TUPLENUM:129</stp>
        <tr r="X131" s="3"/>
      </tp>
      <tp t="e">
        <v>#N/A</v>
        <stp/>
        <stp>STREAM:AppOut</stp>
        <stp>FIELD:OrderStatus</stp>
        <stp>TUPLENUM:126</stp>
        <tr r="X128" s="3"/>
      </tp>
      <tp t="e">
        <v>#N/A</v>
        <stp/>
        <stp>STREAM:AppOut</stp>
        <stp>FIELD:OrderStatus</stp>
        <stp>TUPLENUM:127</stp>
        <tr r="X129" s="3"/>
      </tp>
      <tp t="e">
        <v>#N/A</v>
        <stp/>
        <stp>STREAM:AppOut</stp>
        <stp>FIELD:OrderStatus</stp>
        <stp>TUPLENUM:124</stp>
        <tr r="X126" s="3"/>
      </tp>
      <tp t="e">
        <v>#N/A</v>
        <stp/>
        <stp>STREAM:AppOut</stp>
        <stp>FIELD:OrderStatus</stp>
        <stp>TUPLENUM:125</stp>
        <tr r="X127" s="3"/>
      </tp>
      <tp t="e">
        <v>#N/A</v>
        <stp/>
        <stp>STREAM:AppOut</stp>
        <stp>FIELD:OrderStatus</stp>
        <stp>TUPLENUM:122</stp>
        <tr r="X124" s="3"/>
      </tp>
      <tp t="e">
        <v>#N/A</v>
        <stp/>
        <stp>STREAM:AppOut</stp>
        <stp>FIELD:OrderStatus</stp>
        <stp>TUPLENUM:123</stp>
        <tr r="X125" s="3"/>
      </tp>
      <tp t="e">
        <v>#N/A</v>
        <stp/>
        <stp>STREAM:AppOut</stp>
        <stp>FIELD:OrderStatus</stp>
        <stp>TUPLENUM:120</stp>
        <tr r="X122" s="3"/>
      </tp>
      <tp t="e">
        <v>#N/A</v>
        <stp/>
        <stp>STREAM:AppOut</stp>
        <stp>FIELD:OrderStatus</stp>
        <stp>TUPLENUM:121</stp>
        <tr r="X123" s="3"/>
      </tp>
      <tp t="e">
        <v>#N/A</v>
        <stp/>
        <stp>STREAM:AppOut</stp>
        <stp>FIELD:AppCxlRplID</stp>
        <stp>TUPLENUM:109</stp>
        <tr r="V111" s="3"/>
      </tp>
      <tp t="e">
        <v>#N/A</v>
        <stp/>
        <stp>STREAM:AppOut</stp>
        <stp>FIELD:AppCxlRplID</stp>
        <stp>TUPLENUM:108</stp>
        <tr r="V110" s="3"/>
      </tp>
      <tp t="e">
        <v>#N/A</v>
        <stp/>
        <stp>STREAM:AppOut</stp>
        <stp>FIELD:AppCxlRplID</stp>
        <stp>TUPLENUM:101</stp>
        <tr r="V103" s="3"/>
      </tp>
      <tp t="e">
        <v>#N/A</v>
        <stp/>
        <stp>STREAM:AppOut</stp>
        <stp>FIELD:AppCxlRplID</stp>
        <stp>TUPLENUM:100</stp>
        <tr r="V102" s="3"/>
      </tp>
      <tp t="e">
        <v>#N/A</v>
        <stp/>
        <stp>STREAM:AppOut</stp>
        <stp>FIELD:AppCxlRplID</stp>
        <stp>TUPLENUM:103</stp>
        <tr r="V105" s="3"/>
      </tp>
      <tp t="e">
        <v>#N/A</v>
        <stp/>
        <stp>STREAM:AppOut</stp>
        <stp>FIELD:AppCxlRplID</stp>
        <stp>TUPLENUM:102</stp>
        <tr r="V104" s="3"/>
      </tp>
      <tp t="e">
        <v>#N/A</v>
        <stp/>
        <stp>STREAM:AppOut</stp>
        <stp>FIELD:AppCxlRplID</stp>
        <stp>TUPLENUM:105</stp>
        <tr r="V107" s="3"/>
      </tp>
      <tp t="e">
        <v>#N/A</v>
        <stp/>
        <stp>STREAM:AppOut</stp>
        <stp>FIELD:AppCxlRplID</stp>
        <stp>TUPLENUM:104</stp>
        <tr r="V106" s="3"/>
      </tp>
      <tp t="e">
        <v>#N/A</v>
        <stp/>
        <stp>STREAM:AppOut</stp>
        <stp>FIELD:AppCxlRplID</stp>
        <stp>TUPLENUM:107</stp>
        <tr r="V109" s="3"/>
      </tp>
      <tp t="e">
        <v>#N/A</v>
        <stp/>
        <stp>STREAM:AppOut</stp>
        <stp>FIELD:AppCxlRplID</stp>
        <stp>TUPLENUM:106</stp>
        <tr r="V108" s="3"/>
      </tp>
      <tp t="e">
        <v>#N/A</v>
        <stp/>
        <stp>STREAM:AppOut</stp>
        <stp>FIELD:AppCxlRplID</stp>
        <stp>TUPLENUM:119</stp>
        <tr r="V121" s="3"/>
      </tp>
      <tp t="e">
        <v>#N/A</v>
        <stp/>
        <stp>STREAM:AppOut</stp>
        <stp>FIELD:AppCxlRplID</stp>
        <stp>TUPLENUM:118</stp>
        <tr r="V120" s="3"/>
      </tp>
      <tp t="e">
        <v>#N/A</v>
        <stp/>
        <stp>STREAM:AppOut</stp>
        <stp>FIELD:AppCxlRplID</stp>
        <stp>TUPLENUM:111</stp>
        <tr r="V113" s="3"/>
      </tp>
      <tp t="e">
        <v>#N/A</v>
        <stp/>
        <stp>STREAM:AppOut</stp>
        <stp>FIELD:AppCxlRplID</stp>
        <stp>TUPLENUM:110</stp>
        <tr r="V112" s="3"/>
      </tp>
      <tp t="e">
        <v>#N/A</v>
        <stp/>
        <stp>STREAM:AppOut</stp>
        <stp>FIELD:AppCxlRplID</stp>
        <stp>TUPLENUM:113</stp>
        <tr r="V115" s="3"/>
      </tp>
      <tp t="e">
        <v>#N/A</v>
        <stp/>
        <stp>STREAM:AppOut</stp>
        <stp>FIELD:AppCxlRplID</stp>
        <stp>TUPLENUM:112</stp>
        <tr r="V114" s="3"/>
      </tp>
      <tp t="e">
        <v>#N/A</v>
        <stp/>
        <stp>STREAM:AppOut</stp>
        <stp>FIELD:AppCxlRplID</stp>
        <stp>TUPLENUM:115</stp>
        <tr r="V117" s="3"/>
      </tp>
      <tp t="e">
        <v>#N/A</v>
        <stp/>
        <stp>STREAM:AppOut</stp>
        <stp>FIELD:AppCxlRplID</stp>
        <stp>TUPLENUM:114</stp>
        <tr r="V116" s="3"/>
      </tp>
      <tp t="e">
        <v>#N/A</v>
        <stp/>
        <stp>STREAM:AppOut</stp>
        <stp>FIELD:AppCxlRplID</stp>
        <stp>TUPLENUM:117</stp>
        <tr r="V119" s="3"/>
      </tp>
      <tp t="e">
        <v>#N/A</v>
        <stp/>
        <stp>STREAM:AppOut</stp>
        <stp>FIELD:AppCxlRplID</stp>
        <stp>TUPLENUM:116</stp>
        <tr r="V118" s="3"/>
      </tp>
      <tp t="e">
        <v>#N/A</v>
        <stp/>
        <stp>STREAM:AppOut</stp>
        <stp>FIELD:AppCxlRplID</stp>
        <stp>TUPLENUM:129</stp>
        <tr r="V131" s="3"/>
      </tp>
      <tp t="e">
        <v>#N/A</v>
        <stp/>
        <stp>STREAM:AppOut</stp>
        <stp>FIELD:AppCxlRplID</stp>
        <stp>TUPLENUM:128</stp>
        <tr r="V130" s="3"/>
      </tp>
      <tp t="e">
        <v>#N/A</v>
        <stp/>
        <stp>STREAM:AppOut</stp>
        <stp>FIELD:AppCxlRplID</stp>
        <stp>TUPLENUM:121</stp>
        <tr r="V123" s="3"/>
      </tp>
      <tp t="e">
        <v>#N/A</v>
        <stp/>
        <stp>STREAM:AppOut</stp>
        <stp>FIELD:AppCxlRplID</stp>
        <stp>TUPLENUM:120</stp>
        <tr r="V122" s="3"/>
      </tp>
      <tp t="e">
        <v>#N/A</v>
        <stp/>
        <stp>STREAM:AppOut</stp>
        <stp>FIELD:AppCxlRplID</stp>
        <stp>TUPLENUM:123</stp>
        <tr r="V125" s="3"/>
      </tp>
      <tp t="e">
        <v>#N/A</v>
        <stp/>
        <stp>STREAM:AppOut</stp>
        <stp>FIELD:AppCxlRplID</stp>
        <stp>TUPLENUM:122</stp>
        <tr r="V124" s="3"/>
      </tp>
      <tp t="e">
        <v>#N/A</v>
        <stp/>
        <stp>STREAM:AppOut</stp>
        <stp>FIELD:AppCxlRplID</stp>
        <stp>TUPLENUM:125</stp>
        <tr r="V127" s="3"/>
      </tp>
      <tp t="e">
        <v>#N/A</v>
        <stp/>
        <stp>STREAM:AppOut</stp>
        <stp>FIELD:AppCxlRplID</stp>
        <stp>TUPLENUM:124</stp>
        <tr r="V126" s="3"/>
      </tp>
      <tp t="e">
        <v>#N/A</v>
        <stp/>
        <stp>STREAM:AppOut</stp>
        <stp>FIELD:AppCxlRplID</stp>
        <stp>TUPLENUM:127</stp>
        <tr r="V129" s="3"/>
      </tp>
      <tp t="e">
        <v>#N/A</v>
        <stp/>
        <stp>STREAM:AppOut</stp>
        <stp>FIELD:AppCxlRplID</stp>
        <stp>TUPLENUM:126</stp>
        <tr r="V128" s="3"/>
      </tp>
      <tp t="e">
        <v>#N/A</v>
        <stp/>
        <stp>STREAM:AppOut</stp>
        <stp>FIELD:AppCxlRplID</stp>
        <stp>TUPLENUM:139</stp>
        <tr r="V141" s="3"/>
      </tp>
      <tp t="e">
        <v>#N/A</v>
        <stp/>
        <stp>STREAM:AppOut</stp>
        <stp>FIELD:AppCxlRplID</stp>
        <stp>TUPLENUM:138</stp>
        <tr r="V140" s="3"/>
      </tp>
      <tp t="e">
        <v>#N/A</v>
        <stp/>
        <stp>STREAM:AppOut</stp>
        <stp>FIELD:AppCxlRplID</stp>
        <stp>TUPLENUM:131</stp>
        <tr r="V133" s="3"/>
      </tp>
      <tp t="e">
        <v>#N/A</v>
        <stp/>
        <stp>STREAM:AppOut</stp>
        <stp>FIELD:AppCxlRplID</stp>
        <stp>TUPLENUM:130</stp>
        <tr r="V132" s="3"/>
      </tp>
      <tp t="e">
        <v>#N/A</v>
        <stp/>
        <stp>STREAM:AppOut</stp>
        <stp>FIELD:AppCxlRplID</stp>
        <stp>TUPLENUM:133</stp>
        <tr r="V135" s="3"/>
      </tp>
      <tp t="e">
        <v>#N/A</v>
        <stp/>
        <stp>STREAM:AppOut</stp>
        <stp>FIELD:AppCxlRplID</stp>
        <stp>TUPLENUM:132</stp>
        <tr r="V134" s="3"/>
      </tp>
      <tp t="e">
        <v>#N/A</v>
        <stp/>
        <stp>STREAM:AppOut</stp>
        <stp>FIELD:AppCxlRplID</stp>
        <stp>TUPLENUM:135</stp>
        <tr r="V137" s="3"/>
      </tp>
      <tp t="e">
        <v>#N/A</v>
        <stp/>
        <stp>STREAM:AppOut</stp>
        <stp>FIELD:AppCxlRplID</stp>
        <stp>TUPLENUM:134</stp>
        <tr r="V136" s="3"/>
      </tp>
      <tp t="e">
        <v>#N/A</v>
        <stp/>
        <stp>STREAM:AppOut</stp>
        <stp>FIELD:AppCxlRplID</stp>
        <stp>TUPLENUM:137</stp>
        <tr r="V139" s="3"/>
      </tp>
      <tp t="e">
        <v>#N/A</v>
        <stp/>
        <stp>STREAM:AppOut</stp>
        <stp>FIELD:AppCxlRplID</stp>
        <stp>TUPLENUM:136</stp>
        <tr r="V138" s="3"/>
      </tp>
      <tp t="e">
        <v>#N/A</v>
        <stp/>
        <stp>STREAM:AppOut</stp>
        <stp>FIELD:AppCxlRplID</stp>
        <stp>TUPLENUM:140</stp>
        <tr r="V142" s="3"/>
      </tp>
      <tp t="e">
        <v>#N/A</v>
        <stp/>
        <stp>STREAM:AppOut</stp>
        <stp>FIELD:UpdateTime</stp>
        <stp>TUPLENUM:18</stp>
        <tr r="AE20" s="3"/>
      </tp>
      <tp t="e">
        <v>#N/A</v>
        <stp/>
        <stp>STREAM:AppOut</stp>
        <stp>FIELD:UpdateTime</stp>
        <stp>TUPLENUM:19</stp>
        <tr r="AE21" s="3"/>
      </tp>
      <tp t="e">
        <v>#N/A</v>
        <stp/>
        <stp>STREAM:AppOut</stp>
        <stp>FIELD:UpdateTime</stp>
        <stp>TUPLENUM:10</stp>
        <tr r="AE12" s="3"/>
      </tp>
      <tp t="e">
        <v>#N/A</v>
        <stp/>
        <stp>STREAM:AppOut</stp>
        <stp>FIELD:UpdateTime</stp>
        <stp>TUPLENUM:11</stp>
        <tr r="AE13" s="3"/>
      </tp>
      <tp t="e">
        <v>#N/A</v>
        <stp/>
        <stp>STREAM:AppOut</stp>
        <stp>FIELD:UpdateTime</stp>
        <stp>TUPLENUM:12</stp>
        <tr r="AE14" s="3"/>
      </tp>
      <tp t="e">
        <v>#N/A</v>
        <stp/>
        <stp>STREAM:AppOut</stp>
        <stp>FIELD:UpdateTime</stp>
        <stp>TUPLENUM:13</stp>
        <tr r="AE15" s="3"/>
      </tp>
      <tp t="e">
        <v>#N/A</v>
        <stp/>
        <stp>STREAM:AppOut</stp>
        <stp>FIELD:UpdateTime</stp>
        <stp>TUPLENUM:14</stp>
        <tr r="AE16" s="3"/>
      </tp>
      <tp t="e">
        <v>#N/A</v>
        <stp/>
        <stp>STREAM:AppOut</stp>
        <stp>FIELD:UpdateTime</stp>
        <stp>TUPLENUM:15</stp>
        <tr r="AE17" s="3"/>
      </tp>
      <tp t="e">
        <v>#N/A</v>
        <stp/>
        <stp>STREAM:AppOut</stp>
        <stp>FIELD:UpdateTime</stp>
        <stp>TUPLENUM:16</stp>
        <tr r="AE18" s="3"/>
      </tp>
      <tp t="e">
        <v>#N/A</v>
        <stp/>
        <stp>STREAM:AppOut</stp>
        <stp>FIELD:UpdateTime</stp>
        <stp>TUPLENUM:17</stp>
        <tr r="AE19" s="3"/>
      </tp>
      <tp t="e">
        <v>#N/A</v>
        <stp/>
        <stp>STREAM:AppOut</stp>
        <stp>FIELD:UpdateTime</stp>
        <stp>TUPLENUM:38</stp>
        <tr r="AE40" s="3"/>
      </tp>
      <tp t="e">
        <v>#N/A</v>
        <stp/>
        <stp>STREAM:AppOut</stp>
        <stp>FIELD:UpdateTime</stp>
        <stp>TUPLENUM:39</stp>
        <tr r="AE41" s="3"/>
      </tp>
      <tp t="e">
        <v>#N/A</v>
        <stp/>
        <stp>STREAM:AppOut</stp>
        <stp>FIELD:UpdateTime</stp>
        <stp>TUPLENUM:30</stp>
        <tr r="AE32" s="3"/>
      </tp>
      <tp t="e">
        <v>#N/A</v>
        <stp/>
        <stp>STREAM:AppOut</stp>
        <stp>FIELD:UpdateTime</stp>
        <stp>TUPLENUM:31</stp>
        <tr r="AE33" s="3"/>
      </tp>
      <tp t="e">
        <v>#N/A</v>
        <stp/>
        <stp>STREAM:AppOut</stp>
        <stp>FIELD:UpdateTime</stp>
        <stp>TUPLENUM:32</stp>
        <tr r="AE34" s="3"/>
      </tp>
      <tp t="e">
        <v>#N/A</v>
        <stp/>
        <stp>STREAM:AppOut</stp>
        <stp>FIELD:UpdateTime</stp>
        <stp>TUPLENUM:33</stp>
        <tr r="AE35" s="3"/>
      </tp>
      <tp t="e">
        <v>#N/A</v>
        <stp/>
        <stp>STREAM:AppOut</stp>
        <stp>FIELD:UpdateTime</stp>
        <stp>TUPLENUM:34</stp>
        <tr r="AE36" s="3"/>
      </tp>
      <tp t="e">
        <v>#N/A</v>
        <stp/>
        <stp>STREAM:AppOut</stp>
        <stp>FIELD:UpdateTime</stp>
        <stp>TUPLENUM:35</stp>
        <tr r="AE37" s="3"/>
      </tp>
      <tp t="e">
        <v>#N/A</v>
        <stp/>
        <stp>STREAM:AppOut</stp>
        <stp>FIELD:UpdateTime</stp>
        <stp>TUPLENUM:36</stp>
        <tr r="AE38" s="3"/>
      </tp>
      <tp t="e">
        <v>#N/A</v>
        <stp/>
        <stp>STREAM:AppOut</stp>
        <stp>FIELD:UpdateTime</stp>
        <stp>TUPLENUM:37</stp>
        <tr r="AE39" s="3"/>
      </tp>
      <tp t="e">
        <v>#N/A</v>
        <stp/>
        <stp>STREAM:AppOut</stp>
        <stp>FIELD:UpdateTime</stp>
        <stp>TUPLENUM:28</stp>
        <tr r="AE30" s="3"/>
      </tp>
      <tp t="e">
        <v>#N/A</v>
        <stp/>
        <stp>STREAM:AppOut</stp>
        <stp>FIELD:UpdateTime</stp>
        <stp>TUPLENUM:29</stp>
        <tr r="AE31" s="3"/>
      </tp>
      <tp t="e">
        <v>#N/A</v>
        <stp/>
        <stp>STREAM:AppOut</stp>
        <stp>FIELD:UpdateTime</stp>
        <stp>TUPLENUM:20</stp>
        <tr r="AE22" s="3"/>
      </tp>
      <tp t="e">
        <v>#N/A</v>
        <stp/>
        <stp>STREAM:AppOut</stp>
        <stp>FIELD:UpdateTime</stp>
        <stp>TUPLENUM:21</stp>
        <tr r="AE23" s="3"/>
      </tp>
      <tp t="e">
        <v>#N/A</v>
        <stp/>
        <stp>STREAM:AppOut</stp>
        <stp>FIELD:UpdateTime</stp>
        <stp>TUPLENUM:22</stp>
        <tr r="AE24" s="3"/>
      </tp>
      <tp t="e">
        <v>#N/A</v>
        <stp/>
        <stp>STREAM:AppOut</stp>
        <stp>FIELD:UpdateTime</stp>
        <stp>TUPLENUM:23</stp>
        <tr r="AE25" s="3"/>
      </tp>
      <tp t="e">
        <v>#N/A</v>
        <stp/>
        <stp>STREAM:AppOut</stp>
        <stp>FIELD:UpdateTime</stp>
        <stp>TUPLENUM:24</stp>
        <tr r="AE26" s="3"/>
      </tp>
      <tp t="e">
        <v>#N/A</v>
        <stp/>
        <stp>STREAM:AppOut</stp>
        <stp>FIELD:UpdateTime</stp>
        <stp>TUPLENUM:25</stp>
        <tr r="AE27" s="3"/>
      </tp>
      <tp t="e">
        <v>#N/A</v>
        <stp/>
        <stp>STREAM:AppOut</stp>
        <stp>FIELD:UpdateTime</stp>
        <stp>TUPLENUM:26</stp>
        <tr r="AE28" s="3"/>
      </tp>
      <tp t="e">
        <v>#N/A</v>
        <stp/>
        <stp>STREAM:AppOut</stp>
        <stp>FIELD:UpdateTime</stp>
        <stp>TUPLENUM:27</stp>
        <tr r="AE29" s="3"/>
      </tp>
      <tp t="e">
        <v>#N/A</v>
        <stp/>
        <stp>STREAM:AppOut</stp>
        <stp>FIELD:UpdateTime</stp>
        <stp>TUPLENUM:58</stp>
        <tr r="AE60" s="3"/>
      </tp>
      <tp t="e">
        <v>#N/A</v>
        <stp/>
        <stp>STREAM:AppOut</stp>
        <stp>FIELD:UpdateTime</stp>
        <stp>TUPLENUM:59</stp>
        <tr r="AE61" s="3"/>
      </tp>
      <tp t="e">
        <v>#N/A</v>
        <stp/>
        <stp>STREAM:AppOut</stp>
        <stp>FIELD:UpdateTime</stp>
        <stp>TUPLENUM:50</stp>
        <tr r="AE52" s="3"/>
      </tp>
      <tp t="e">
        <v>#N/A</v>
        <stp/>
        <stp>STREAM:AppOut</stp>
        <stp>FIELD:UpdateTime</stp>
        <stp>TUPLENUM:51</stp>
        <tr r="AE53" s="3"/>
      </tp>
      <tp t="e">
        <v>#N/A</v>
        <stp/>
        <stp>STREAM:AppOut</stp>
        <stp>FIELD:UpdateTime</stp>
        <stp>TUPLENUM:52</stp>
        <tr r="AE54" s="3"/>
      </tp>
      <tp t="e">
        <v>#N/A</v>
        <stp/>
        <stp>STREAM:AppOut</stp>
        <stp>FIELD:UpdateTime</stp>
        <stp>TUPLENUM:53</stp>
        <tr r="AE55" s="3"/>
      </tp>
      <tp t="e">
        <v>#N/A</v>
        <stp/>
        <stp>STREAM:AppOut</stp>
        <stp>FIELD:UpdateTime</stp>
        <stp>TUPLENUM:54</stp>
        <tr r="AE56" s="3"/>
      </tp>
      <tp t="e">
        <v>#N/A</v>
        <stp/>
        <stp>STREAM:AppOut</stp>
        <stp>FIELD:UpdateTime</stp>
        <stp>TUPLENUM:55</stp>
        <tr r="AE57" s="3"/>
      </tp>
      <tp t="e">
        <v>#N/A</v>
        <stp/>
        <stp>STREAM:AppOut</stp>
        <stp>FIELD:UpdateTime</stp>
        <stp>TUPLENUM:56</stp>
        <tr r="AE58" s="3"/>
      </tp>
      <tp t="e">
        <v>#N/A</v>
        <stp/>
        <stp>STREAM:AppOut</stp>
        <stp>FIELD:UpdateTime</stp>
        <stp>TUPLENUM:57</stp>
        <tr r="AE59" s="3"/>
      </tp>
      <tp t="e">
        <v>#N/A</v>
        <stp/>
        <stp>STREAM:AppOut</stp>
        <stp>FIELD:UpdateTime</stp>
        <stp>TUPLENUM:48</stp>
        <tr r="AE50" s="3"/>
      </tp>
      <tp t="e">
        <v>#N/A</v>
        <stp/>
        <stp>STREAM:AppOut</stp>
        <stp>FIELD:UpdateTime</stp>
        <stp>TUPLENUM:49</stp>
        <tr r="AE51" s="3"/>
      </tp>
      <tp t="e">
        <v>#N/A</v>
        <stp/>
        <stp>STREAM:AppOut</stp>
        <stp>FIELD:UpdateTime</stp>
        <stp>TUPLENUM:40</stp>
        <tr r="AE42" s="3"/>
      </tp>
      <tp t="e">
        <v>#N/A</v>
        <stp/>
        <stp>STREAM:AppOut</stp>
        <stp>FIELD:UpdateTime</stp>
        <stp>TUPLENUM:41</stp>
        <tr r="AE43" s="3"/>
      </tp>
      <tp t="e">
        <v>#N/A</v>
        <stp/>
        <stp>STREAM:AppOut</stp>
        <stp>FIELD:UpdateTime</stp>
        <stp>TUPLENUM:42</stp>
        <tr r="AE44" s="3"/>
      </tp>
      <tp t="e">
        <v>#N/A</v>
        <stp/>
        <stp>STREAM:AppOut</stp>
        <stp>FIELD:UpdateTime</stp>
        <stp>TUPLENUM:43</stp>
        <tr r="AE45" s="3"/>
      </tp>
      <tp t="e">
        <v>#N/A</v>
        <stp/>
        <stp>STREAM:AppOut</stp>
        <stp>FIELD:UpdateTime</stp>
        <stp>TUPLENUM:44</stp>
        <tr r="AE46" s="3"/>
      </tp>
      <tp t="e">
        <v>#N/A</v>
        <stp/>
        <stp>STREAM:AppOut</stp>
        <stp>FIELD:UpdateTime</stp>
        <stp>TUPLENUM:45</stp>
        <tr r="AE47" s="3"/>
      </tp>
      <tp t="e">
        <v>#N/A</v>
        <stp/>
        <stp>STREAM:AppOut</stp>
        <stp>FIELD:UpdateTime</stp>
        <stp>TUPLENUM:46</stp>
        <tr r="AE48" s="3"/>
      </tp>
      <tp t="e">
        <v>#N/A</v>
        <stp/>
        <stp>STREAM:AppOut</stp>
        <stp>FIELD:UpdateTime</stp>
        <stp>TUPLENUM:47</stp>
        <tr r="AE49" s="3"/>
      </tp>
      <tp t="e">
        <v>#N/A</v>
        <stp/>
        <stp>STREAM:AppOut</stp>
        <stp>FIELD:UpdateTime</stp>
        <stp>TUPLENUM:78</stp>
        <tr r="AE80" s="3"/>
      </tp>
      <tp t="e">
        <v>#N/A</v>
        <stp/>
        <stp>STREAM:AppOut</stp>
        <stp>FIELD:UpdateTime</stp>
        <stp>TUPLENUM:79</stp>
        <tr r="AE81" s="3"/>
      </tp>
      <tp t="e">
        <v>#N/A</v>
        <stp/>
        <stp>STREAM:AppOut</stp>
        <stp>FIELD:UpdateTime</stp>
        <stp>TUPLENUM:70</stp>
        <tr r="AE72" s="3"/>
      </tp>
      <tp t="e">
        <v>#N/A</v>
        <stp/>
        <stp>STREAM:AppOut</stp>
        <stp>FIELD:UpdateTime</stp>
        <stp>TUPLENUM:71</stp>
        <tr r="AE73" s="3"/>
      </tp>
      <tp t="e">
        <v>#N/A</v>
        <stp/>
        <stp>STREAM:AppOut</stp>
        <stp>FIELD:UpdateTime</stp>
        <stp>TUPLENUM:72</stp>
        <tr r="AE74" s="3"/>
      </tp>
      <tp t="e">
        <v>#N/A</v>
        <stp/>
        <stp>STREAM:AppOut</stp>
        <stp>FIELD:UpdateTime</stp>
        <stp>TUPLENUM:73</stp>
        <tr r="AE75" s="3"/>
      </tp>
      <tp t="e">
        <v>#N/A</v>
        <stp/>
        <stp>STREAM:AppOut</stp>
        <stp>FIELD:UpdateTime</stp>
        <stp>TUPLENUM:74</stp>
        <tr r="AE76" s="3"/>
      </tp>
      <tp t="e">
        <v>#N/A</v>
        <stp/>
        <stp>STREAM:AppOut</stp>
        <stp>FIELD:UpdateTime</stp>
        <stp>TUPLENUM:75</stp>
        <tr r="AE77" s="3"/>
      </tp>
      <tp t="e">
        <v>#N/A</v>
        <stp/>
        <stp>STREAM:AppOut</stp>
        <stp>FIELD:UpdateTime</stp>
        <stp>TUPLENUM:76</stp>
        <tr r="AE78" s="3"/>
      </tp>
      <tp t="e">
        <v>#N/A</v>
        <stp/>
        <stp>STREAM:AppOut</stp>
        <stp>FIELD:UpdateTime</stp>
        <stp>TUPLENUM:77</stp>
        <tr r="AE79" s="3"/>
      </tp>
      <tp t="e">
        <v>#N/A</v>
        <stp/>
        <stp>STREAM:AppOut</stp>
        <stp>FIELD:UpdateTime</stp>
        <stp>TUPLENUM:68</stp>
        <tr r="AE70" s="3"/>
      </tp>
      <tp t="e">
        <v>#N/A</v>
        <stp/>
        <stp>STREAM:AppOut</stp>
        <stp>FIELD:UpdateTime</stp>
        <stp>TUPLENUM:69</stp>
        <tr r="AE71" s="3"/>
      </tp>
      <tp t="e">
        <v>#N/A</v>
        <stp/>
        <stp>STREAM:AppOut</stp>
        <stp>FIELD:UpdateTime</stp>
        <stp>TUPLENUM:60</stp>
        <tr r="AE62" s="3"/>
      </tp>
      <tp t="e">
        <v>#N/A</v>
        <stp/>
        <stp>STREAM:AppOut</stp>
        <stp>FIELD:UpdateTime</stp>
        <stp>TUPLENUM:61</stp>
        <tr r="AE63" s="3"/>
      </tp>
      <tp t="e">
        <v>#N/A</v>
        <stp/>
        <stp>STREAM:AppOut</stp>
        <stp>FIELD:UpdateTime</stp>
        <stp>TUPLENUM:62</stp>
        <tr r="AE64" s="3"/>
      </tp>
      <tp t="e">
        <v>#N/A</v>
        <stp/>
        <stp>STREAM:AppOut</stp>
        <stp>FIELD:UpdateTime</stp>
        <stp>TUPLENUM:63</stp>
        <tr r="AE65" s="3"/>
      </tp>
      <tp t="e">
        <v>#N/A</v>
        <stp/>
        <stp>STREAM:AppOut</stp>
        <stp>FIELD:UpdateTime</stp>
        <stp>TUPLENUM:64</stp>
        <tr r="AE66" s="3"/>
      </tp>
      <tp t="e">
        <v>#N/A</v>
        <stp/>
        <stp>STREAM:AppOut</stp>
        <stp>FIELD:UpdateTime</stp>
        <stp>TUPLENUM:65</stp>
        <tr r="AE67" s="3"/>
      </tp>
      <tp t="e">
        <v>#N/A</v>
        <stp/>
        <stp>STREAM:AppOut</stp>
        <stp>FIELD:UpdateTime</stp>
        <stp>TUPLENUM:66</stp>
        <tr r="AE68" s="3"/>
      </tp>
      <tp t="e">
        <v>#N/A</v>
        <stp/>
        <stp>STREAM:AppOut</stp>
        <stp>FIELD:UpdateTime</stp>
        <stp>TUPLENUM:67</stp>
        <tr r="AE69" s="3"/>
      </tp>
      <tp t="e">
        <v>#N/A</v>
        <stp/>
        <stp>STREAM:AppOut</stp>
        <stp>FIELD:UpdateTime</stp>
        <stp>TUPLENUM:98</stp>
        <tr r="AE100" s="3"/>
      </tp>
      <tp t="e">
        <v>#N/A</v>
        <stp/>
        <stp>STREAM:AppOut</stp>
        <stp>FIELD:UpdateTime</stp>
        <stp>TUPLENUM:99</stp>
        <tr r="AE101" s="3"/>
      </tp>
      <tp t="e">
        <v>#N/A</v>
        <stp/>
        <stp>STREAM:AppOut</stp>
        <stp>FIELD:UpdateTime</stp>
        <stp>TUPLENUM:90</stp>
        <tr r="AE92" s="3"/>
      </tp>
      <tp t="e">
        <v>#N/A</v>
        <stp/>
        <stp>STREAM:AppOut</stp>
        <stp>FIELD:UpdateTime</stp>
        <stp>TUPLENUM:91</stp>
        <tr r="AE93" s="3"/>
      </tp>
      <tp t="e">
        <v>#N/A</v>
        <stp/>
        <stp>STREAM:AppOut</stp>
        <stp>FIELD:UpdateTime</stp>
        <stp>TUPLENUM:92</stp>
        <tr r="AE94" s="3"/>
      </tp>
      <tp t="e">
        <v>#N/A</v>
        <stp/>
        <stp>STREAM:AppOut</stp>
        <stp>FIELD:UpdateTime</stp>
        <stp>TUPLENUM:93</stp>
        <tr r="AE95" s="3"/>
      </tp>
      <tp t="e">
        <v>#N/A</v>
        <stp/>
        <stp>STREAM:AppOut</stp>
        <stp>FIELD:UpdateTime</stp>
        <stp>TUPLENUM:94</stp>
        <tr r="AE96" s="3"/>
      </tp>
      <tp t="e">
        <v>#N/A</v>
        <stp/>
        <stp>STREAM:AppOut</stp>
        <stp>FIELD:UpdateTime</stp>
        <stp>TUPLENUM:95</stp>
        <tr r="AE97" s="3"/>
      </tp>
      <tp t="e">
        <v>#N/A</v>
        <stp/>
        <stp>STREAM:AppOut</stp>
        <stp>FIELD:UpdateTime</stp>
        <stp>TUPLENUM:96</stp>
        <tr r="AE98" s="3"/>
      </tp>
      <tp t="e">
        <v>#N/A</v>
        <stp/>
        <stp>STREAM:AppOut</stp>
        <stp>FIELD:UpdateTime</stp>
        <stp>TUPLENUM:97</stp>
        <tr r="AE99" s="3"/>
      </tp>
      <tp t="e">
        <v>#N/A</v>
        <stp/>
        <stp>STREAM:AppOut</stp>
        <stp>FIELD:UpdateTime</stp>
        <stp>TUPLENUM:88</stp>
        <tr r="AE90" s="3"/>
      </tp>
      <tp t="e">
        <v>#N/A</v>
        <stp/>
        <stp>STREAM:AppOut</stp>
        <stp>FIELD:UpdateTime</stp>
        <stp>TUPLENUM:89</stp>
        <tr r="AE91" s="3"/>
      </tp>
      <tp t="e">
        <v>#N/A</v>
        <stp/>
        <stp>STREAM:AppOut</stp>
        <stp>FIELD:UpdateTime</stp>
        <stp>TUPLENUM:80</stp>
        <tr r="AE82" s="3"/>
      </tp>
      <tp t="e">
        <v>#N/A</v>
        <stp/>
        <stp>STREAM:AppOut</stp>
        <stp>FIELD:UpdateTime</stp>
        <stp>TUPLENUM:81</stp>
        <tr r="AE83" s="3"/>
      </tp>
      <tp t="e">
        <v>#N/A</v>
        <stp/>
        <stp>STREAM:AppOut</stp>
        <stp>FIELD:UpdateTime</stp>
        <stp>TUPLENUM:82</stp>
        <tr r="AE84" s="3"/>
      </tp>
      <tp t="e">
        <v>#N/A</v>
        <stp/>
        <stp>STREAM:AppOut</stp>
        <stp>FIELD:UpdateTime</stp>
        <stp>TUPLENUM:83</stp>
        <tr r="AE85" s="3"/>
      </tp>
      <tp t="e">
        <v>#N/A</v>
        <stp/>
        <stp>STREAM:AppOut</stp>
        <stp>FIELD:UpdateTime</stp>
        <stp>TUPLENUM:84</stp>
        <tr r="AE86" s="3"/>
      </tp>
      <tp t="e">
        <v>#N/A</v>
        <stp/>
        <stp>STREAM:AppOut</stp>
        <stp>FIELD:UpdateTime</stp>
        <stp>TUPLENUM:85</stp>
        <tr r="AE87" s="3"/>
      </tp>
      <tp t="e">
        <v>#N/A</v>
        <stp/>
        <stp>STREAM:AppOut</stp>
        <stp>FIELD:UpdateTime</stp>
        <stp>TUPLENUM:86</stp>
        <tr r="AE88" s="3"/>
      </tp>
      <tp t="e">
        <v>#N/A</v>
        <stp/>
        <stp>STREAM:AppOut</stp>
        <stp>FIELD:UpdateTime</stp>
        <stp>TUPLENUM:87</stp>
        <tr r="AE89" s="3"/>
      </tp>
      <tp t="e">
        <v>#N/A</v>
        <stp/>
        <stp>STREAM:AppOut</stp>
        <stp>FIELD:AvgPx</stp>
        <stp>TUPLENUM:88</stp>
        <tr r="AC90" s="3"/>
      </tp>
      <tp t="e">
        <v>#N/A</v>
        <stp/>
        <stp>STREAM:AppOut</stp>
        <stp>FIELD:AvgPx</stp>
        <stp>TUPLENUM:89</stp>
        <tr r="AC91" s="3"/>
      </tp>
      <tp t="e">
        <v>#N/A</v>
        <stp/>
        <stp>STREAM:AppOut</stp>
        <stp>FIELD:AvgPx</stp>
        <stp>TUPLENUM:82</stp>
        <tr r="AC84" s="3"/>
      </tp>
      <tp t="e">
        <v>#N/A</v>
        <stp/>
        <stp>STREAM:AppOut</stp>
        <stp>FIELD:AvgPx</stp>
        <stp>TUPLENUM:83</stp>
        <tr r="AC85" s="3"/>
      </tp>
      <tp t="e">
        <v>#N/A</v>
        <stp/>
        <stp>STREAM:AppOut</stp>
        <stp>FIELD:AvgPx</stp>
        <stp>TUPLENUM:80</stp>
        <tr r="AC82" s="3"/>
      </tp>
      <tp t="e">
        <v>#N/A</v>
        <stp/>
        <stp>STREAM:AppOut</stp>
        <stp>FIELD:AvgPx</stp>
        <stp>TUPLENUM:81</stp>
        <tr r="AC83" s="3"/>
      </tp>
      <tp t="e">
        <v>#N/A</v>
        <stp/>
        <stp>STREAM:AppOut</stp>
        <stp>FIELD:AvgPx</stp>
        <stp>TUPLENUM:86</stp>
        <tr r="AC88" s="3"/>
      </tp>
      <tp t="e">
        <v>#N/A</v>
        <stp/>
        <stp>STREAM:AppOut</stp>
        <stp>FIELD:AvgPx</stp>
        <stp>TUPLENUM:87</stp>
        <tr r="AC89" s="3"/>
      </tp>
      <tp t="e">
        <v>#N/A</v>
        <stp/>
        <stp>STREAM:AppOut</stp>
        <stp>FIELD:AvgPx</stp>
        <stp>TUPLENUM:84</stp>
        <tr r="AC86" s="3"/>
      </tp>
      <tp t="e">
        <v>#N/A</v>
        <stp/>
        <stp>STREAM:AppOut</stp>
        <stp>FIELD:AvgPx</stp>
        <stp>TUPLENUM:85</stp>
        <tr r="AC87" s="3"/>
      </tp>
      <tp t="e">
        <v>#N/A</v>
        <stp/>
        <stp>STREAM:AppOut</stp>
        <stp>FIELD:AvgPx</stp>
        <stp>TUPLENUM:98</stp>
        <tr r="AC100" s="3"/>
      </tp>
      <tp t="e">
        <v>#N/A</v>
        <stp/>
        <stp>STREAM:AppOut</stp>
        <stp>FIELD:AvgPx</stp>
        <stp>TUPLENUM:99</stp>
        <tr r="AC101" s="3"/>
      </tp>
      <tp t="e">
        <v>#N/A</v>
        <stp/>
        <stp>STREAM:AppOut</stp>
        <stp>FIELD:AvgPx</stp>
        <stp>TUPLENUM:92</stp>
        <tr r="AC94" s="3"/>
      </tp>
      <tp t="e">
        <v>#N/A</v>
        <stp/>
        <stp>STREAM:AppOut</stp>
        <stp>FIELD:AvgPx</stp>
        <stp>TUPLENUM:93</stp>
        <tr r="AC95" s="3"/>
      </tp>
      <tp t="e">
        <v>#N/A</v>
        <stp/>
        <stp>STREAM:AppOut</stp>
        <stp>FIELD:AvgPx</stp>
        <stp>TUPLENUM:90</stp>
        <tr r="AC92" s="3"/>
      </tp>
      <tp t="e">
        <v>#N/A</v>
        <stp/>
        <stp>STREAM:AppOut</stp>
        <stp>FIELD:AvgPx</stp>
        <stp>TUPLENUM:91</stp>
        <tr r="AC93" s="3"/>
      </tp>
      <tp t="e">
        <v>#N/A</v>
        <stp/>
        <stp>STREAM:AppOut</stp>
        <stp>FIELD:AvgPx</stp>
        <stp>TUPLENUM:96</stp>
        <tr r="AC98" s="3"/>
      </tp>
      <tp t="e">
        <v>#N/A</v>
        <stp/>
        <stp>STREAM:AppOut</stp>
        <stp>FIELD:AvgPx</stp>
        <stp>TUPLENUM:97</stp>
        <tr r="AC99" s="3"/>
      </tp>
      <tp t="e">
        <v>#N/A</v>
        <stp/>
        <stp>STREAM:AppOut</stp>
        <stp>FIELD:AvgPx</stp>
        <stp>TUPLENUM:94</stp>
        <tr r="AC96" s="3"/>
      </tp>
      <tp t="e">
        <v>#N/A</v>
        <stp/>
        <stp>STREAM:AppOut</stp>
        <stp>FIELD:AvgPx</stp>
        <stp>TUPLENUM:95</stp>
        <tr r="AC97" s="3"/>
      </tp>
      <tp t="e">
        <v>#N/A</v>
        <stp/>
        <stp>STREAM:AppOut</stp>
        <stp>FIELD:AvgPx</stp>
        <stp>TUPLENUM:48</stp>
        <tr r="AC50" s="3"/>
      </tp>
      <tp t="e">
        <v>#N/A</v>
        <stp/>
        <stp>STREAM:AppOut</stp>
        <stp>FIELD:AvgPx</stp>
        <stp>TUPLENUM:49</stp>
        <tr r="AC51" s="3"/>
      </tp>
      <tp t="e">
        <v>#N/A</v>
        <stp/>
        <stp>STREAM:AppOut</stp>
        <stp>FIELD:AvgPx</stp>
        <stp>TUPLENUM:42</stp>
        <tr r="AC44" s="3"/>
      </tp>
      <tp t="e">
        <v>#N/A</v>
        <stp/>
        <stp>STREAM:AppOut</stp>
        <stp>FIELD:AvgPx</stp>
        <stp>TUPLENUM:43</stp>
        <tr r="AC45" s="3"/>
      </tp>
      <tp t="e">
        <v>#N/A</v>
        <stp/>
        <stp>STREAM:AppOut</stp>
        <stp>FIELD:AvgPx</stp>
        <stp>TUPLENUM:40</stp>
        <tr r="AC42" s="3"/>
      </tp>
      <tp t="e">
        <v>#N/A</v>
        <stp/>
        <stp>STREAM:AppOut</stp>
        <stp>FIELD:AvgPx</stp>
        <stp>TUPLENUM:41</stp>
        <tr r="AC43" s="3"/>
      </tp>
      <tp t="e">
        <v>#N/A</v>
        <stp/>
        <stp>STREAM:AppOut</stp>
        <stp>FIELD:AvgPx</stp>
        <stp>TUPLENUM:46</stp>
        <tr r="AC48" s="3"/>
      </tp>
      <tp t="e">
        <v>#N/A</v>
        <stp/>
        <stp>STREAM:AppOut</stp>
        <stp>FIELD:AvgPx</stp>
        <stp>TUPLENUM:47</stp>
        <tr r="AC49" s="3"/>
      </tp>
      <tp t="e">
        <v>#N/A</v>
        <stp/>
        <stp>STREAM:AppOut</stp>
        <stp>FIELD:AvgPx</stp>
        <stp>TUPLENUM:44</stp>
        <tr r="AC46" s="3"/>
      </tp>
      <tp t="e">
        <v>#N/A</v>
        <stp/>
        <stp>STREAM:AppOut</stp>
        <stp>FIELD:AvgPx</stp>
        <stp>TUPLENUM:45</stp>
        <tr r="AC47" s="3"/>
      </tp>
      <tp t="e">
        <v>#N/A</v>
        <stp/>
        <stp>STREAM:AppOut</stp>
        <stp>FIELD:AvgPx</stp>
        <stp>TUPLENUM:58</stp>
        <tr r="AC60" s="3"/>
      </tp>
      <tp t="e">
        <v>#N/A</v>
        <stp/>
        <stp>STREAM:AppOut</stp>
        <stp>FIELD:AvgPx</stp>
        <stp>TUPLENUM:59</stp>
        <tr r="AC61" s="3"/>
      </tp>
      <tp t="e">
        <v>#N/A</v>
        <stp/>
        <stp>STREAM:AppOut</stp>
        <stp>FIELD:AvgPx</stp>
        <stp>TUPLENUM:52</stp>
        <tr r="AC54" s="3"/>
      </tp>
      <tp t="e">
        <v>#N/A</v>
        <stp/>
        <stp>STREAM:AppOut</stp>
        <stp>FIELD:AvgPx</stp>
        <stp>TUPLENUM:53</stp>
        <tr r="AC55" s="3"/>
      </tp>
      <tp t="e">
        <v>#N/A</v>
        <stp/>
        <stp>STREAM:AppOut</stp>
        <stp>FIELD:AvgPx</stp>
        <stp>TUPLENUM:50</stp>
        <tr r="AC52" s="3"/>
      </tp>
      <tp t="e">
        <v>#N/A</v>
        <stp/>
        <stp>STREAM:AppOut</stp>
        <stp>FIELD:AvgPx</stp>
        <stp>TUPLENUM:51</stp>
        <tr r="AC53" s="3"/>
      </tp>
      <tp t="e">
        <v>#N/A</v>
        <stp/>
        <stp>STREAM:AppOut</stp>
        <stp>FIELD:AvgPx</stp>
        <stp>TUPLENUM:56</stp>
        <tr r="AC58" s="3"/>
      </tp>
      <tp t="e">
        <v>#N/A</v>
        <stp/>
        <stp>STREAM:AppOut</stp>
        <stp>FIELD:AvgPx</stp>
        <stp>TUPLENUM:57</stp>
        <tr r="AC59" s="3"/>
      </tp>
      <tp t="e">
        <v>#N/A</v>
        <stp/>
        <stp>STREAM:AppOut</stp>
        <stp>FIELD:AvgPx</stp>
        <stp>TUPLENUM:54</stp>
        <tr r="AC56" s="3"/>
      </tp>
      <tp t="e">
        <v>#N/A</v>
        <stp/>
        <stp>STREAM:AppOut</stp>
        <stp>FIELD:AvgPx</stp>
        <stp>TUPLENUM:55</stp>
        <tr r="AC57" s="3"/>
      </tp>
      <tp t="e">
        <v>#N/A</v>
        <stp/>
        <stp>STREAM:AppOut</stp>
        <stp>FIELD:AvgPx</stp>
        <stp>TUPLENUM:68</stp>
        <tr r="AC70" s="3"/>
      </tp>
      <tp t="e">
        <v>#N/A</v>
        <stp/>
        <stp>STREAM:AppOut</stp>
        <stp>FIELD:AvgPx</stp>
        <stp>TUPLENUM:69</stp>
        <tr r="AC71" s="3"/>
      </tp>
      <tp t="e">
        <v>#N/A</v>
        <stp/>
        <stp>STREAM:AppOut</stp>
        <stp>FIELD:AvgPx</stp>
        <stp>TUPLENUM:62</stp>
        <tr r="AC64" s="3"/>
      </tp>
      <tp t="e">
        <v>#N/A</v>
        <stp/>
        <stp>STREAM:AppOut</stp>
        <stp>FIELD:AvgPx</stp>
        <stp>TUPLENUM:63</stp>
        <tr r="AC65" s="3"/>
      </tp>
      <tp t="e">
        <v>#N/A</v>
        <stp/>
        <stp>STREAM:AppOut</stp>
        <stp>FIELD:AvgPx</stp>
        <stp>TUPLENUM:60</stp>
        <tr r="AC62" s="3"/>
      </tp>
      <tp t="e">
        <v>#N/A</v>
        <stp/>
        <stp>STREAM:AppOut</stp>
        <stp>FIELD:AvgPx</stp>
        <stp>TUPLENUM:61</stp>
        <tr r="AC63" s="3"/>
      </tp>
      <tp t="e">
        <v>#N/A</v>
        <stp/>
        <stp>STREAM:AppOut</stp>
        <stp>FIELD:AvgPx</stp>
        <stp>TUPLENUM:66</stp>
        <tr r="AC68" s="3"/>
      </tp>
      <tp t="e">
        <v>#N/A</v>
        <stp/>
        <stp>STREAM:AppOut</stp>
        <stp>FIELD:AvgPx</stp>
        <stp>TUPLENUM:67</stp>
        <tr r="AC69" s="3"/>
      </tp>
      <tp t="e">
        <v>#N/A</v>
        <stp/>
        <stp>STREAM:AppOut</stp>
        <stp>FIELD:AvgPx</stp>
        <stp>TUPLENUM:64</stp>
        <tr r="AC66" s="3"/>
      </tp>
      <tp t="e">
        <v>#N/A</v>
        <stp/>
        <stp>STREAM:AppOut</stp>
        <stp>FIELD:AvgPx</stp>
        <stp>TUPLENUM:65</stp>
        <tr r="AC67" s="3"/>
      </tp>
      <tp t="e">
        <v>#N/A</v>
        <stp/>
        <stp>STREAM:AppOut</stp>
        <stp>FIELD:AvgPx</stp>
        <stp>TUPLENUM:78</stp>
        <tr r="AC80" s="3"/>
      </tp>
      <tp t="e">
        <v>#N/A</v>
        <stp/>
        <stp>STREAM:AppOut</stp>
        <stp>FIELD:AvgPx</stp>
        <stp>TUPLENUM:79</stp>
        <tr r="AC81" s="3"/>
      </tp>
      <tp t="e">
        <v>#N/A</v>
        <stp/>
        <stp>STREAM:AppOut</stp>
        <stp>FIELD:AvgPx</stp>
        <stp>TUPLENUM:72</stp>
        <tr r="AC74" s="3"/>
      </tp>
      <tp t="e">
        <v>#N/A</v>
        <stp/>
        <stp>STREAM:AppOut</stp>
        <stp>FIELD:AvgPx</stp>
        <stp>TUPLENUM:73</stp>
        <tr r="AC75" s="3"/>
      </tp>
      <tp t="e">
        <v>#N/A</v>
        <stp/>
        <stp>STREAM:AppOut</stp>
        <stp>FIELD:AvgPx</stp>
        <stp>TUPLENUM:70</stp>
        <tr r="AC72" s="3"/>
      </tp>
      <tp t="e">
        <v>#N/A</v>
        <stp/>
        <stp>STREAM:AppOut</stp>
        <stp>FIELD:AvgPx</stp>
        <stp>TUPLENUM:71</stp>
        <tr r="AC73" s="3"/>
      </tp>
      <tp t="e">
        <v>#N/A</v>
        <stp/>
        <stp>STREAM:AppOut</stp>
        <stp>FIELD:AvgPx</stp>
        <stp>TUPLENUM:76</stp>
        <tr r="AC78" s="3"/>
      </tp>
      <tp t="e">
        <v>#N/A</v>
        <stp/>
        <stp>STREAM:AppOut</stp>
        <stp>FIELD:AvgPx</stp>
        <stp>TUPLENUM:77</stp>
        <tr r="AC79" s="3"/>
      </tp>
      <tp t="e">
        <v>#N/A</v>
        <stp/>
        <stp>STREAM:AppOut</stp>
        <stp>FIELD:AvgPx</stp>
        <stp>TUPLENUM:74</stp>
        <tr r="AC76" s="3"/>
      </tp>
      <tp t="e">
        <v>#N/A</v>
        <stp/>
        <stp>STREAM:AppOut</stp>
        <stp>FIELD:AvgPx</stp>
        <stp>TUPLENUM:75</stp>
        <tr r="AC77" s="3"/>
      </tp>
      <tp t="e">
        <v>#N/A</v>
        <stp/>
        <stp>STREAM:AppOut</stp>
        <stp>FIELD:AvgPx</stp>
        <stp>TUPLENUM:18</stp>
        <tr r="AC20" s="3"/>
      </tp>
      <tp t="e">
        <v>#N/A</v>
        <stp/>
        <stp>STREAM:AppOut</stp>
        <stp>FIELD:AvgPx</stp>
        <stp>TUPLENUM:19</stp>
        <tr r="AC21" s="3"/>
      </tp>
      <tp t="e">
        <v>#N/A</v>
        <stp/>
        <stp>STREAM:AppOut</stp>
        <stp>FIELD:AvgPx</stp>
        <stp>TUPLENUM:12</stp>
        <tr r="AC14" s="3"/>
      </tp>
      <tp t="e">
        <v>#N/A</v>
        <stp/>
        <stp>STREAM:AppOut</stp>
        <stp>FIELD:AvgPx</stp>
        <stp>TUPLENUM:13</stp>
        <tr r="AC15" s="3"/>
      </tp>
      <tp t="e">
        <v>#N/A</v>
        <stp/>
        <stp>STREAM:AppOut</stp>
        <stp>FIELD:AvgPx</stp>
        <stp>TUPLENUM:10</stp>
        <tr r="AC12" s="3"/>
      </tp>
      <tp t="e">
        <v>#N/A</v>
        <stp/>
        <stp>STREAM:AppOut</stp>
        <stp>FIELD:AvgPx</stp>
        <stp>TUPLENUM:11</stp>
        <tr r="AC13" s="3"/>
      </tp>
      <tp t="e">
        <v>#N/A</v>
        <stp/>
        <stp>STREAM:AppOut</stp>
        <stp>FIELD:AvgPx</stp>
        <stp>TUPLENUM:16</stp>
        <tr r="AC18" s="3"/>
      </tp>
      <tp t="e">
        <v>#N/A</v>
        <stp/>
        <stp>STREAM:AppOut</stp>
        <stp>FIELD:AvgPx</stp>
        <stp>TUPLENUM:17</stp>
        <tr r="AC19" s="3"/>
      </tp>
      <tp t="e">
        <v>#N/A</v>
        <stp/>
        <stp>STREAM:AppOut</stp>
        <stp>FIELD:AvgPx</stp>
        <stp>TUPLENUM:14</stp>
        <tr r="AC16" s="3"/>
      </tp>
      <tp t="e">
        <v>#N/A</v>
        <stp/>
        <stp>STREAM:AppOut</stp>
        <stp>FIELD:AvgPx</stp>
        <stp>TUPLENUM:15</stp>
        <tr r="AC17" s="3"/>
      </tp>
      <tp t="e">
        <v>#N/A</v>
        <stp/>
        <stp>STREAM:AppOut</stp>
        <stp>FIELD:AvgPx</stp>
        <stp>TUPLENUM:28</stp>
        <tr r="AC30" s="3"/>
      </tp>
      <tp t="e">
        <v>#N/A</v>
        <stp/>
        <stp>STREAM:AppOut</stp>
        <stp>FIELD:AvgPx</stp>
        <stp>TUPLENUM:29</stp>
        <tr r="AC31" s="3"/>
      </tp>
      <tp t="e">
        <v>#N/A</v>
        <stp/>
        <stp>STREAM:AppOut</stp>
        <stp>FIELD:AvgPx</stp>
        <stp>TUPLENUM:22</stp>
        <tr r="AC24" s="3"/>
      </tp>
      <tp t="e">
        <v>#N/A</v>
        <stp/>
        <stp>STREAM:AppOut</stp>
        <stp>FIELD:AvgPx</stp>
        <stp>TUPLENUM:23</stp>
        <tr r="AC25" s="3"/>
      </tp>
      <tp t="e">
        <v>#N/A</v>
        <stp/>
        <stp>STREAM:AppOut</stp>
        <stp>FIELD:AvgPx</stp>
        <stp>TUPLENUM:20</stp>
        <tr r="AC22" s="3"/>
      </tp>
      <tp t="e">
        <v>#N/A</v>
        <stp/>
        <stp>STREAM:AppOut</stp>
        <stp>FIELD:AvgPx</stp>
        <stp>TUPLENUM:21</stp>
        <tr r="AC23" s="3"/>
      </tp>
      <tp t="e">
        <v>#N/A</v>
        <stp/>
        <stp>STREAM:AppOut</stp>
        <stp>FIELD:AvgPx</stp>
        <stp>TUPLENUM:26</stp>
        <tr r="AC28" s="3"/>
      </tp>
      <tp t="e">
        <v>#N/A</v>
        <stp/>
        <stp>STREAM:AppOut</stp>
        <stp>FIELD:AvgPx</stp>
        <stp>TUPLENUM:27</stp>
        <tr r="AC29" s="3"/>
      </tp>
      <tp t="e">
        <v>#N/A</v>
        <stp/>
        <stp>STREAM:AppOut</stp>
        <stp>FIELD:AvgPx</stp>
        <stp>TUPLENUM:24</stp>
        <tr r="AC26" s="3"/>
      </tp>
      <tp t="e">
        <v>#N/A</v>
        <stp/>
        <stp>STREAM:AppOut</stp>
        <stp>FIELD:AvgPx</stp>
        <stp>TUPLENUM:25</stp>
        <tr r="AC27" s="3"/>
      </tp>
      <tp t="e">
        <v>#N/A</v>
        <stp/>
        <stp>STREAM:AppOut</stp>
        <stp>FIELD:AvgPx</stp>
        <stp>TUPLENUM:38</stp>
        <tr r="AC40" s="3"/>
      </tp>
      <tp t="e">
        <v>#N/A</v>
        <stp/>
        <stp>STREAM:AppOut</stp>
        <stp>FIELD:AvgPx</stp>
        <stp>TUPLENUM:39</stp>
        <tr r="AC41" s="3"/>
      </tp>
      <tp t="e">
        <v>#N/A</v>
        <stp/>
        <stp>STREAM:AppOut</stp>
        <stp>FIELD:AvgPx</stp>
        <stp>TUPLENUM:32</stp>
        <tr r="AC34" s="3"/>
      </tp>
      <tp t="e">
        <v>#N/A</v>
        <stp/>
        <stp>STREAM:AppOut</stp>
        <stp>FIELD:AvgPx</stp>
        <stp>TUPLENUM:33</stp>
        <tr r="AC35" s="3"/>
      </tp>
      <tp t="e">
        <v>#N/A</v>
        <stp/>
        <stp>STREAM:AppOut</stp>
        <stp>FIELD:AvgPx</stp>
        <stp>TUPLENUM:30</stp>
        <tr r="AC32" s="3"/>
      </tp>
      <tp t="e">
        <v>#N/A</v>
        <stp/>
        <stp>STREAM:AppOut</stp>
        <stp>FIELD:AvgPx</stp>
        <stp>TUPLENUM:31</stp>
        <tr r="AC33" s="3"/>
      </tp>
      <tp t="e">
        <v>#N/A</v>
        <stp/>
        <stp>STREAM:AppOut</stp>
        <stp>FIELD:AvgPx</stp>
        <stp>TUPLENUM:36</stp>
        <tr r="AC38" s="3"/>
      </tp>
      <tp t="e">
        <v>#N/A</v>
        <stp/>
        <stp>STREAM:AppOut</stp>
        <stp>FIELD:AvgPx</stp>
        <stp>TUPLENUM:37</stp>
        <tr r="AC39" s="3"/>
      </tp>
      <tp t="e">
        <v>#N/A</v>
        <stp/>
        <stp>STREAM:AppOut</stp>
        <stp>FIELD:AvgPx</stp>
        <stp>TUPLENUM:34</stp>
        <tr r="AC36" s="3"/>
      </tp>
      <tp t="e">
        <v>#N/A</v>
        <stp/>
        <stp>STREAM:AppOut</stp>
        <stp>FIELD:AvgPx</stp>
        <stp>TUPLENUM:35</stp>
        <tr r="AC37" s="3"/>
      </tp>
      <tp t="e">
        <v>#N/A</v>
        <stp/>
        <stp>STREAM:AppOut</stp>
        <stp>FIELD:Account</stp>
        <stp>TUPLENUM:69</stp>
        <tr r="AH71" s="3"/>
      </tp>
      <tp t="e">
        <v>#N/A</v>
        <stp/>
        <stp>STREAM:AppOut</stp>
        <stp>FIELD:Account</stp>
        <stp>TUPLENUM:68</stp>
        <tr r="AH70" s="3"/>
      </tp>
      <tp t="e">
        <v>#N/A</v>
        <stp/>
        <stp>STREAM:AppOut</stp>
        <stp>FIELD:Account</stp>
        <stp>TUPLENUM:61</stp>
        <tr r="AH63" s="3"/>
      </tp>
      <tp t="e">
        <v>#N/A</v>
        <stp/>
        <stp>STREAM:AppOut</stp>
        <stp>FIELD:Account</stp>
        <stp>TUPLENUM:60</stp>
        <tr r="AH62" s="3"/>
      </tp>
      <tp t="e">
        <v>#N/A</v>
        <stp/>
        <stp>STREAM:AppOut</stp>
        <stp>FIELD:Account</stp>
        <stp>TUPLENUM:63</stp>
        <tr r="AH65" s="3"/>
      </tp>
      <tp t="e">
        <v>#N/A</v>
        <stp/>
        <stp>STREAM:AppOut</stp>
        <stp>FIELD:Account</stp>
        <stp>TUPLENUM:62</stp>
        <tr r="AH64" s="3"/>
      </tp>
      <tp t="e">
        <v>#N/A</v>
        <stp/>
        <stp>STREAM:AppOut</stp>
        <stp>FIELD:Account</stp>
        <stp>TUPLENUM:65</stp>
        <tr r="AH67" s="3"/>
      </tp>
      <tp t="e">
        <v>#N/A</v>
        <stp/>
        <stp>STREAM:AppOut</stp>
        <stp>FIELD:Account</stp>
        <stp>TUPLENUM:64</stp>
        <tr r="AH66" s="3"/>
      </tp>
      <tp t="e">
        <v>#N/A</v>
        <stp/>
        <stp>STREAM:AppOut</stp>
        <stp>FIELD:Account</stp>
        <stp>TUPLENUM:67</stp>
        <tr r="AH69" s="3"/>
      </tp>
      <tp t="e">
        <v>#N/A</v>
        <stp/>
        <stp>STREAM:AppOut</stp>
        <stp>FIELD:Account</stp>
        <stp>TUPLENUM:66</stp>
        <tr r="AH68" s="3"/>
      </tp>
      <tp t="e">
        <v>#N/A</v>
        <stp/>
        <stp>STREAM:AppOut</stp>
        <stp>FIELD:Account</stp>
        <stp>TUPLENUM:79</stp>
        <tr r="AH81" s="3"/>
      </tp>
      <tp t="e">
        <v>#N/A</v>
        <stp/>
        <stp>STREAM:AppOut</stp>
        <stp>FIELD:Account</stp>
        <stp>TUPLENUM:78</stp>
        <tr r="AH80" s="3"/>
      </tp>
      <tp t="e">
        <v>#N/A</v>
        <stp/>
        <stp>STREAM:AppOut</stp>
        <stp>FIELD:Account</stp>
        <stp>TUPLENUM:71</stp>
        <tr r="AH73" s="3"/>
      </tp>
      <tp t="e">
        <v>#N/A</v>
        <stp/>
        <stp>STREAM:AppOut</stp>
        <stp>FIELD:Account</stp>
        <stp>TUPLENUM:70</stp>
        <tr r="AH72" s="3"/>
      </tp>
      <tp t="e">
        <v>#N/A</v>
        <stp/>
        <stp>STREAM:AppOut</stp>
        <stp>FIELD:Account</stp>
        <stp>TUPLENUM:73</stp>
        <tr r="AH75" s="3"/>
      </tp>
      <tp t="e">
        <v>#N/A</v>
        <stp/>
        <stp>STREAM:AppOut</stp>
        <stp>FIELD:Account</stp>
        <stp>TUPLENUM:72</stp>
        <tr r="AH74" s="3"/>
      </tp>
      <tp t="e">
        <v>#N/A</v>
        <stp/>
        <stp>STREAM:AppOut</stp>
        <stp>FIELD:Account</stp>
        <stp>TUPLENUM:75</stp>
        <tr r="AH77" s="3"/>
      </tp>
      <tp t="e">
        <v>#N/A</v>
        <stp/>
        <stp>STREAM:AppOut</stp>
        <stp>FIELD:Account</stp>
        <stp>TUPLENUM:74</stp>
        <tr r="AH76" s="3"/>
      </tp>
      <tp t="e">
        <v>#N/A</v>
        <stp/>
        <stp>STREAM:AppOut</stp>
        <stp>FIELD:Account</stp>
        <stp>TUPLENUM:77</stp>
        <tr r="AH79" s="3"/>
      </tp>
      <tp t="e">
        <v>#N/A</v>
        <stp/>
        <stp>STREAM:AppOut</stp>
        <stp>FIELD:Account</stp>
        <stp>TUPLENUM:76</stp>
        <tr r="AH78" s="3"/>
      </tp>
      <tp t="e">
        <v>#N/A</v>
        <stp/>
        <stp>STREAM:AppOut</stp>
        <stp>FIELD:Account</stp>
        <stp>TUPLENUM:49</stp>
        <tr r="AH51" s="3"/>
      </tp>
      <tp t="e">
        <v>#N/A</v>
        <stp/>
        <stp>STREAM:AppOut</stp>
        <stp>FIELD:Account</stp>
        <stp>TUPLENUM:48</stp>
        <tr r="AH50" s="3"/>
      </tp>
      <tp t="e">
        <v>#N/A</v>
        <stp/>
        <stp>STREAM:AppOut</stp>
        <stp>FIELD:Account</stp>
        <stp>TUPLENUM:41</stp>
        <tr r="AH43" s="3"/>
      </tp>
      <tp t="e">
        <v>#N/A</v>
        <stp/>
        <stp>STREAM:AppOut</stp>
        <stp>FIELD:Account</stp>
        <stp>TUPLENUM:40</stp>
        <tr r="AH42" s="3"/>
      </tp>
      <tp t="e">
        <v>#N/A</v>
        <stp/>
        <stp>STREAM:AppOut</stp>
        <stp>FIELD:Account</stp>
        <stp>TUPLENUM:43</stp>
        <tr r="AH45" s="3"/>
      </tp>
      <tp t="e">
        <v>#N/A</v>
        <stp/>
        <stp>STREAM:AppOut</stp>
        <stp>FIELD:Account</stp>
        <stp>TUPLENUM:42</stp>
        <tr r="AH44" s="3"/>
      </tp>
      <tp t="e">
        <v>#N/A</v>
        <stp/>
        <stp>STREAM:AppOut</stp>
        <stp>FIELD:Account</stp>
        <stp>TUPLENUM:45</stp>
        <tr r="AH47" s="3"/>
      </tp>
      <tp t="e">
        <v>#N/A</v>
        <stp/>
        <stp>STREAM:AppOut</stp>
        <stp>FIELD:Account</stp>
        <stp>TUPLENUM:44</stp>
        <tr r="AH46" s="3"/>
      </tp>
      <tp t="e">
        <v>#N/A</v>
        <stp/>
        <stp>STREAM:AppOut</stp>
        <stp>FIELD:Account</stp>
        <stp>TUPLENUM:47</stp>
        <tr r="AH49" s="3"/>
      </tp>
      <tp t="e">
        <v>#N/A</v>
        <stp/>
        <stp>STREAM:AppOut</stp>
        <stp>FIELD:Account</stp>
        <stp>TUPLENUM:46</stp>
        <tr r="AH48" s="3"/>
      </tp>
      <tp t="e">
        <v>#N/A</v>
        <stp/>
        <stp>STREAM:AppOut</stp>
        <stp>FIELD:Account</stp>
        <stp>TUPLENUM:59</stp>
        <tr r="AH61" s="3"/>
      </tp>
      <tp t="e">
        <v>#N/A</v>
        <stp/>
        <stp>STREAM:AppOut</stp>
        <stp>FIELD:Account</stp>
        <stp>TUPLENUM:58</stp>
        <tr r="AH60" s="3"/>
      </tp>
      <tp t="e">
        <v>#N/A</v>
        <stp/>
        <stp>STREAM:AppOut</stp>
        <stp>FIELD:Account</stp>
        <stp>TUPLENUM:51</stp>
        <tr r="AH53" s="3"/>
      </tp>
      <tp t="e">
        <v>#N/A</v>
        <stp/>
        <stp>STREAM:AppOut</stp>
        <stp>FIELD:Account</stp>
        <stp>TUPLENUM:50</stp>
        <tr r="AH52" s="3"/>
      </tp>
      <tp t="e">
        <v>#N/A</v>
        <stp/>
        <stp>STREAM:AppOut</stp>
        <stp>FIELD:Account</stp>
        <stp>TUPLENUM:53</stp>
        <tr r="AH55" s="3"/>
      </tp>
      <tp t="e">
        <v>#N/A</v>
        <stp/>
        <stp>STREAM:AppOut</stp>
        <stp>FIELD:Account</stp>
        <stp>TUPLENUM:52</stp>
        <tr r="AH54" s="3"/>
      </tp>
      <tp t="e">
        <v>#N/A</v>
        <stp/>
        <stp>STREAM:AppOut</stp>
        <stp>FIELD:Account</stp>
        <stp>TUPLENUM:55</stp>
        <tr r="AH57" s="3"/>
      </tp>
      <tp t="e">
        <v>#N/A</v>
        <stp/>
        <stp>STREAM:AppOut</stp>
        <stp>FIELD:Account</stp>
        <stp>TUPLENUM:54</stp>
        <tr r="AH56" s="3"/>
      </tp>
      <tp t="e">
        <v>#N/A</v>
        <stp/>
        <stp>STREAM:AppOut</stp>
        <stp>FIELD:Account</stp>
        <stp>TUPLENUM:57</stp>
        <tr r="AH59" s="3"/>
      </tp>
      <tp t="e">
        <v>#N/A</v>
        <stp/>
        <stp>STREAM:AppOut</stp>
        <stp>FIELD:Account</stp>
        <stp>TUPLENUM:56</stp>
        <tr r="AH58" s="3"/>
      </tp>
      <tp t="e">
        <v>#N/A</v>
        <stp/>
        <stp>STREAM:AppOut</stp>
        <stp>FIELD:Account</stp>
        <stp>TUPLENUM:29</stp>
        <tr r="AH31" s="3"/>
      </tp>
      <tp t="e">
        <v>#N/A</v>
        <stp/>
        <stp>STREAM:AppOut</stp>
        <stp>FIELD:Account</stp>
        <stp>TUPLENUM:28</stp>
        <tr r="AH30" s="3"/>
      </tp>
      <tp t="e">
        <v>#N/A</v>
        <stp/>
        <stp>STREAM:AppOut</stp>
        <stp>FIELD:Account</stp>
        <stp>TUPLENUM:21</stp>
        <tr r="AH23" s="3"/>
      </tp>
      <tp t="e">
        <v>#N/A</v>
        <stp/>
        <stp>STREAM:AppOut</stp>
        <stp>FIELD:Account</stp>
        <stp>TUPLENUM:20</stp>
        <tr r="AH22" s="3"/>
      </tp>
      <tp t="e">
        <v>#N/A</v>
        <stp/>
        <stp>STREAM:AppOut</stp>
        <stp>FIELD:Account</stp>
        <stp>TUPLENUM:23</stp>
        <tr r="AH25" s="3"/>
      </tp>
      <tp t="e">
        <v>#N/A</v>
        <stp/>
        <stp>STREAM:AppOut</stp>
        <stp>FIELD:Account</stp>
        <stp>TUPLENUM:22</stp>
        <tr r="AH24" s="3"/>
      </tp>
      <tp t="e">
        <v>#N/A</v>
        <stp/>
        <stp>STREAM:AppOut</stp>
        <stp>FIELD:Account</stp>
        <stp>TUPLENUM:25</stp>
        <tr r="AH27" s="3"/>
      </tp>
      <tp t="e">
        <v>#N/A</v>
        <stp/>
        <stp>STREAM:AppOut</stp>
        <stp>FIELD:Account</stp>
        <stp>TUPLENUM:24</stp>
        <tr r="AH26" s="3"/>
      </tp>
      <tp t="e">
        <v>#N/A</v>
        <stp/>
        <stp>STREAM:AppOut</stp>
        <stp>FIELD:Account</stp>
        <stp>TUPLENUM:27</stp>
        <tr r="AH29" s="3"/>
      </tp>
      <tp t="e">
        <v>#N/A</v>
        <stp/>
        <stp>STREAM:AppOut</stp>
        <stp>FIELD:Account</stp>
        <stp>TUPLENUM:26</stp>
        <tr r="AH28" s="3"/>
      </tp>
      <tp t="e">
        <v>#N/A</v>
        <stp/>
        <stp>STREAM:AppOut</stp>
        <stp>FIELD:Account</stp>
        <stp>TUPLENUM:39</stp>
        <tr r="AH41" s="3"/>
      </tp>
      <tp t="e">
        <v>#N/A</v>
        <stp/>
        <stp>STREAM:AppOut</stp>
        <stp>FIELD:Account</stp>
        <stp>TUPLENUM:38</stp>
        <tr r="AH40" s="3"/>
      </tp>
      <tp t="e">
        <v>#N/A</v>
        <stp/>
        <stp>STREAM:AppOut</stp>
        <stp>FIELD:Account</stp>
        <stp>TUPLENUM:31</stp>
        <tr r="AH33" s="3"/>
      </tp>
      <tp t="e">
        <v>#N/A</v>
        <stp/>
        <stp>STREAM:AppOut</stp>
        <stp>FIELD:Account</stp>
        <stp>TUPLENUM:30</stp>
        <tr r="AH32" s="3"/>
      </tp>
      <tp t="e">
        <v>#N/A</v>
        <stp/>
        <stp>STREAM:AppOut</stp>
        <stp>FIELD:Account</stp>
        <stp>TUPLENUM:33</stp>
        <tr r="AH35" s="3"/>
      </tp>
      <tp t="e">
        <v>#N/A</v>
        <stp/>
        <stp>STREAM:AppOut</stp>
        <stp>FIELD:Account</stp>
        <stp>TUPLENUM:32</stp>
        <tr r="AH34" s="3"/>
      </tp>
      <tp t="e">
        <v>#N/A</v>
        <stp/>
        <stp>STREAM:AppOut</stp>
        <stp>FIELD:Account</stp>
        <stp>TUPLENUM:35</stp>
        <tr r="AH37" s="3"/>
      </tp>
      <tp t="e">
        <v>#N/A</v>
        <stp/>
        <stp>STREAM:AppOut</stp>
        <stp>FIELD:Account</stp>
        <stp>TUPLENUM:34</stp>
        <tr r="AH36" s="3"/>
      </tp>
      <tp t="e">
        <v>#N/A</v>
        <stp/>
        <stp>STREAM:AppOut</stp>
        <stp>FIELD:Account</stp>
        <stp>TUPLENUM:37</stp>
        <tr r="AH39" s="3"/>
      </tp>
      <tp t="e">
        <v>#N/A</v>
        <stp/>
        <stp>STREAM:AppOut</stp>
        <stp>FIELD:Account</stp>
        <stp>TUPLENUM:36</stp>
        <tr r="AH38" s="3"/>
      </tp>
      <tp t="e">
        <v>#N/A</v>
        <stp/>
        <stp>STREAM:AppOut</stp>
        <stp>FIELD:Account</stp>
        <stp>TUPLENUM:19</stp>
        <tr r="AH21" s="3"/>
      </tp>
      <tp t="e">
        <v>#N/A</v>
        <stp/>
        <stp>STREAM:AppOut</stp>
        <stp>FIELD:Account</stp>
        <stp>TUPLENUM:18</stp>
        <tr r="AH20" s="3"/>
      </tp>
      <tp t="e">
        <v>#N/A</v>
        <stp/>
        <stp>STREAM:AppOut</stp>
        <stp>FIELD:Account</stp>
        <stp>TUPLENUM:11</stp>
        <tr r="AH13" s="3"/>
      </tp>
      <tp t="e">
        <v>#N/A</v>
        <stp/>
        <stp>STREAM:AppOut</stp>
        <stp>FIELD:Account</stp>
        <stp>TUPLENUM:10</stp>
        <tr r="AH12" s="3"/>
      </tp>
      <tp t="e">
        <v>#N/A</v>
        <stp/>
        <stp>STREAM:AppOut</stp>
        <stp>FIELD:Account</stp>
        <stp>TUPLENUM:13</stp>
        <tr r="AH15" s="3"/>
      </tp>
      <tp t="e">
        <v>#N/A</v>
        <stp/>
        <stp>STREAM:AppOut</stp>
        <stp>FIELD:Account</stp>
        <stp>TUPLENUM:12</stp>
        <tr r="AH14" s="3"/>
      </tp>
      <tp t="e">
        <v>#N/A</v>
        <stp/>
        <stp>STREAM:AppOut</stp>
        <stp>FIELD:Account</stp>
        <stp>TUPLENUM:15</stp>
        <tr r="AH17" s="3"/>
      </tp>
      <tp t="e">
        <v>#N/A</v>
        <stp/>
        <stp>STREAM:AppOut</stp>
        <stp>FIELD:Account</stp>
        <stp>TUPLENUM:14</stp>
        <tr r="AH16" s="3"/>
      </tp>
      <tp t="e">
        <v>#N/A</v>
        <stp/>
        <stp>STREAM:AppOut</stp>
        <stp>FIELD:Account</stp>
        <stp>TUPLENUM:17</stp>
        <tr r="AH19" s="3"/>
      </tp>
      <tp t="e">
        <v>#N/A</v>
        <stp/>
        <stp>STREAM:AppOut</stp>
        <stp>FIELD:Account</stp>
        <stp>TUPLENUM:16</stp>
        <tr r="AH18" s="3"/>
      </tp>
      <tp t="e">
        <v>#N/A</v>
        <stp/>
        <stp>STREAM:AppOut</stp>
        <stp>FIELD:Account</stp>
        <stp>TUPLENUM:89</stp>
        <tr r="AH91" s="3"/>
      </tp>
      <tp t="e">
        <v>#N/A</v>
        <stp/>
        <stp>STREAM:AppOut</stp>
        <stp>FIELD:Account</stp>
        <stp>TUPLENUM:88</stp>
        <tr r="AH90" s="3"/>
      </tp>
      <tp t="e">
        <v>#N/A</v>
        <stp/>
        <stp>STREAM:AppOut</stp>
        <stp>FIELD:Account</stp>
        <stp>TUPLENUM:81</stp>
        <tr r="AH83" s="3"/>
      </tp>
      <tp t="e">
        <v>#N/A</v>
        <stp/>
        <stp>STREAM:AppOut</stp>
        <stp>FIELD:Account</stp>
        <stp>TUPLENUM:80</stp>
        <tr r="AH82" s="3"/>
      </tp>
      <tp t="e">
        <v>#N/A</v>
        <stp/>
        <stp>STREAM:AppOut</stp>
        <stp>FIELD:Account</stp>
        <stp>TUPLENUM:83</stp>
        <tr r="AH85" s="3"/>
      </tp>
      <tp t="e">
        <v>#N/A</v>
        <stp/>
        <stp>STREAM:AppOut</stp>
        <stp>FIELD:Account</stp>
        <stp>TUPLENUM:82</stp>
        <tr r="AH84" s="3"/>
      </tp>
      <tp t="e">
        <v>#N/A</v>
        <stp/>
        <stp>STREAM:AppOut</stp>
        <stp>FIELD:Account</stp>
        <stp>TUPLENUM:85</stp>
        <tr r="AH87" s="3"/>
      </tp>
      <tp t="e">
        <v>#N/A</v>
        <stp/>
        <stp>STREAM:AppOut</stp>
        <stp>FIELD:Account</stp>
        <stp>TUPLENUM:84</stp>
        <tr r="AH86" s="3"/>
      </tp>
      <tp t="e">
        <v>#N/A</v>
        <stp/>
        <stp>STREAM:AppOut</stp>
        <stp>FIELD:Account</stp>
        <stp>TUPLENUM:87</stp>
        <tr r="AH89" s="3"/>
      </tp>
      <tp t="e">
        <v>#N/A</v>
        <stp/>
        <stp>STREAM:AppOut</stp>
        <stp>FIELD:Account</stp>
        <stp>TUPLENUM:86</stp>
        <tr r="AH88" s="3"/>
      </tp>
      <tp t="e">
        <v>#N/A</v>
        <stp/>
        <stp>STREAM:AppOut</stp>
        <stp>FIELD:Account</stp>
        <stp>TUPLENUM:99</stp>
        <tr r="AH101" s="3"/>
      </tp>
      <tp t="e">
        <v>#N/A</v>
        <stp/>
        <stp>STREAM:AppOut</stp>
        <stp>FIELD:Account</stp>
        <stp>TUPLENUM:98</stp>
        <tr r="AH100" s="3"/>
      </tp>
      <tp t="e">
        <v>#N/A</v>
        <stp/>
        <stp>STREAM:AppOut</stp>
        <stp>FIELD:Account</stp>
        <stp>TUPLENUM:91</stp>
        <tr r="AH93" s="3"/>
      </tp>
      <tp t="e">
        <v>#N/A</v>
        <stp/>
        <stp>STREAM:AppOut</stp>
        <stp>FIELD:Account</stp>
        <stp>TUPLENUM:90</stp>
        <tr r="AH92" s="3"/>
      </tp>
      <tp t="e">
        <v>#N/A</v>
        <stp/>
        <stp>STREAM:AppOut</stp>
        <stp>FIELD:Account</stp>
        <stp>TUPLENUM:93</stp>
        <tr r="AH95" s="3"/>
      </tp>
      <tp t="e">
        <v>#N/A</v>
        <stp/>
        <stp>STREAM:AppOut</stp>
        <stp>FIELD:Account</stp>
        <stp>TUPLENUM:92</stp>
        <tr r="AH94" s="3"/>
      </tp>
      <tp t="e">
        <v>#N/A</v>
        <stp/>
        <stp>STREAM:AppOut</stp>
        <stp>FIELD:Account</stp>
        <stp>TUPLENUM:95</stp>
        <tr r="AH97" s="3"/>
      </tp>
      <tp t="e">
        <v>#N/A</v>
        <stp/>
        <stp>STREAM:AppOut</stp>
        <stp>FIELD:Account</stp>
        <stp>TUPLENUM:94</stp>
        <tr r="AH96" s="3"/>
      </tp>
      <tp t="e">
        <v>#N/A</v>
        <stp/>
        <stp>STREAM:AppOut</stp>
        <stp>FIELD:Account</stp>
        <stp>TUPLENUM:97</stp>
        <tr r="AH99" s="3"/>
      </tp>
      <tp t="e">
        <v>#N/A</v>
        <stp/>
        <stp>STREAM:AppOut</stp>
        <stp>FIELD:Account</stp>
        <stp>TUPLENUM:96</stp>
        <tr r="AH98" s="3"/>
      </tp>
      <tp t="e">
        <v>#N/A</v>
        <stp/>
        <stp>STREAM:AppOut</stp>
        <stp>FIELD:Price</stp>
        <stp>TUPLENUM:96</stp>
        <tr r="Z98" s="3"/>
      </tp>
      <tp t="e">
        <v>#N/A</v>
        <stp/>
        <stp>STREAM:AppOut</stp>
        <stp>FIELD:Price</stp>
        <stp>TUPLENUM:97</stp>
        <tr r="Z99" s="3"/>
      </tp>
      <tp t="e">
        <v>#N/A</v>
        <stp/>
        <stp>STREAM:AppOut</stp>
        <stp>FIELD:Price</stp>
        <stp>TUPLENUM:94</stp>
        <tr r="Z96" s="3"/>
      </tp>
      <tp t="e">
        <v>#N/A</v>
        <stp/>
        <stp>STREAM:AppOut</stp>
        <stp>FIELD:Price</stp>
        <stp>TUPLENUM:95</stp>
        <tr r="Z97" s="3"/>
      </tp>
      <tp t="e">
        <v>#N/A</v>
        <stp/>
        <stp>STREAM:AppOut</stp>
        <stp>FIELD:Price</stp>
        <stp>TUPLENUM:92</stp>
        <tr r="Z94" s="3"/>
      </tp>
      <tp t="e">
        <v>#N/A</v>
        <stp/>
        <stp>STREAM:AppOut</stp>
        <stp>FIELD:Price</stp>
        <stp>TUPLENUM:93</stp>
        <tr r="Z95" s="3"/>
      </tp>
      <tp t="e">
        <v>#N/A</v>
        <stp/>
        <stp>STREAM:AppOut</stp>
        <stp>FIELD:Price</stp>
        <stp>TUPLENUM:90</stp>
        <tr r="Z92" s="3"/>
      </tp>
      <tp t="e">
        <v>#N/A</v>
        <stp/>
        <stp>STREAM:AppOut</stp>
        <stp>FIELD:Price</stp>
        <stp>TUPLENUM:91</stp>
        <tr r="Z93" s="3"/>
      </tp>
      <tp t="e">
        <v>#N/A</v>
        <stp/>
        <stp>STREAM:AppOut</stp>
        <stp>FIELD:Price</stp>
        <stp>TUPLENUM:98</stp>
        <tr r="Z100" s="3"/>
      </tp>
      <tp t="e">
        <v>#N/A</v>
        <stp/>
        <stp>STREAM:AppOut</stp>
        <stp>FIELD:Price</stp>
        <stp>TUPLENUM:99</stp>
        <tr r="Z101" s="3"/>
      </tp>
      <tp t="e">
        <v>#N/A</v>
        <stp/>
        <stp>STREAM:AppOut</stp>
        <stp>FIELD:Price</stp>
        <stp>TUPLENUM:86</stp>
        <tr r="Z88" s="3"/>
      </tp>
      <tp t="e">
        <v>#N/A</v>
        <stp/>
        <stp>STREAM:AppOut</stp>
        <stp>FIELD:Price</stp>
        <stp>TUPLENUM:87</stp>
        <tr r="Z89" s="3"/>
      </tp>
      <tp t="e">
        <v>#N/A</v>
        <stp/>
        <stp>STREAM:AppOut</stp>
        <stp>FIELD:Price</stp>
        <stp>TUPLENUM:84</stp>
        <tr r="Z86" s="3"/>
      </tp>
      <tp t="e">
        <v>#N/A</v>
        <stp/>
        <stp>STREAM:AppOut</stp>
        <stp>FIELD:Price</stp>
        <stp>TUPLENUM:85</stp>
        <tr r="Z87" s="3"/>
      </tp>
      <tp t="e">
        <v>#N/A</v>
        <stp/>
        <stp>STREAM:AppOut</stp>
        <stp>FIELD:Price</stp>
        <stp>TUPLENUM:82</stp>
        <tr r="Z84" s="3"/>
      </tp>
      <tp t="e">
        <v>#N/A</v>
        <stp/>
        <stp>STREAM:AppOut</stp>
        <stp>FIELD:Price</stp>
        <stp>TUPLENUM:83</stp>
        <tr r="Z85" s="3"/>
      </tp>
      <tp t="e">
        <v>#N/A</v>
        <stp/>
        <stp>STREAM:AppOut</stp>
        <stp>FIELD:Price</stp>
        <stp>TUPLENUM:80</stp>
        <tr r="Z82" s="3"/>
      </tp>
      <tp t="e">
        <v>#N/A</v>
        <stp/>
        <stp>STREAM:AppOut</stp>
        <stp>FIELD:Price</stp>
        <stp>TUPLENUM:81</stp>
        <tr r="Z83" s="3"/>
      </tp>
      <tp t="e">
        <v>#N/A</v>
        <stp/>
        <stp>STREAM:AppOut</stp>
        <stp>FIELD:Price</stp>
        <stp>TUPLENUM:88</stp>
        <tr r="Z90" s="3"/>
      </tp>
      <tp t="e">
        <v>#N/A</v>
        <stp/>
        <stp>STREAM:AppOut</stp>
        <stp>FIELD:Price</stp>
        <stp>TUPLENUM:89</stp>
        <tr r="Z91" s="3"/>
      </tp>
      <tp t="e">
        <v>#N/A</v>
        <stp/>
        <stp>STREAM:AppOut</stp>
        <stp>FIELD:Price</stp>
        <stp>TUPLENUM:76</stp>
        <tr r="Z78" s="3"/>
      </tp>
      <tp t="e">
        <v>#N/A</v>
        <stp/>
        <stp>STREAM:AppOut</stp>
        <stp>FIELD:Price</stp>
        <stp>TUPLENUM:77</stp>
        <tr r="Z79" s="3"/>
      </tp>
      <tp t="e">
        <v>#N/A</v>
        <stp/>
        <stp>STREAM:AppOut</stp>
        <stp>FIELD:Price</stp>
        <stp>TUPLENUM:74</stp>
        <tr r="Z76" s="3"/>
      </tp>
      <tp t="e">
        <v>#N/A</v>
        <stp/>
        <stp>STREAM:AppOut</stp>
        <stp>FIELD:Price</stp>
        <stp>TUPLENUM:75</stp>
        <tr r="Z77" s="3"/>
      </tp>
      <tp t="e">
        <v>#N/A</v>
        <stp/>
        <stp>STREAM:AppOut</stp>
        <stp>FIELD:Price</stp>
        <stp>TUPLENUM:72</stp>
        <tr r="Z74" s="3"/>
      </tp>
      <tp t="e">
        <v>#N/A</v>
        <stp/>
        <stp>STREAM:AppOut</stp>
        <stp>FIELD:Price</stp>
        <stp>TUPLENUM:73</stp>
        <tr r="Z75" s="3"/>
      </tp>
      <tp t="e">
        <v>#N/A</v>
        <stp/>
        <stp>STREAM:AppOut</stp>
        <stp>FIELD:Price</stp>
        <stp>TUPLENUM:70</stp>
        <tr r="Z72" s="3"/>
      </tp>
      <tp t="e">
        <v>#N/A</v>
        <stp/>
        <stp>STREAM:AppOut</stp>
        <stp>FIELD:Price</stp>
        <stp>TUPLENUM:71</stp>
        <tr r="Z73" s="3"/>
      </tp>
      <tp t="e">
        <v>#N/A</v>
        <stp/>
        <stp>STREAM:AppOut</stp>
        <stp>FIELD:Price</stp>
        <stp>TUPLENUM:78</stp>
        <tr r="Z80" s="3"/>
      </tp>
      <tp t="e">
        <v>#N/A</v>
        <stp/>
        <stp>STREAM:AppOut</stp>
        <stp>FIELD:Price</stp>
        <stp>TUPLENUM:79</stp>
        <tr r="Z81" s="3"/>
      </tp>
      <tp t="e">
        <v>#N/A</v>
        <stp/>
        <stp>STREAM:AppOut</stp>
        <stp>FIELD:Price</stp>
        <stp>TUPLENUM:66</stp>
        <tr r="Z68" s="3"/>
      </tp>
      <tp t="e">
        <v>#N/A</v>
        <stp/>
        <stp>STREAM:AppOut</stp>
        <stp>FIELD:Price</stp>
        <stp>TUPLENUM:67</stp>
        <tr r="Z69" s="3"/>
      </tp>
      <tp t="e">
        <v>#N/A</v>
        <stp/>
        <stp>STREAM:AppOut</stp>
        <stp>FIELD:Price</stp>
        <stp>TUPLENUM:64</stp>
        <tr r="Z66" s="3"/>
      </tp>
      <tp t="e">
        <v>#N/A</v>
        <stp/>
        <stp>STREAM:AppOut</stp>
        <stp>FIELD:Price</stp>
        <stp>TUPLENUM:65</stp>
        <tr r="Z67" s="3"/>
      </tp>
      <tp t="e">
        <v>#N/A</v>
        <stp/>
        <stp>STREAM:AppOut</stp>
        <stp>FIELD:Price</stp>
        <stp>TUPLENUM:62</stp>
        <tr r="Z64" s="3"/>
      </tp>
      <tp t="e">
        <v>#N/A</v>
        <stp/>
        <stp>STREAM:AppOut</stp>
        <stp>FIELD:Price</stp>
        <stp>TUPLENUM:63</stp>
        <tr r="Z65" s="3"/>
      </tp>
      <tp t="e">
        <v>#N/A</v>
        <stp/>
        <stp>STREAM:AppOut</stp>
        <stp>FIELD:Price</stp>
        <stp>TUPLENUM:60</stp>
        <tr r="Z62" s="3"/>
      </tp>
      <tp t="e">
        <v>#N/A</v>
        <stp/>
        <stp>STREAM:AppOut</stp>
        <stp>FIELD:Price</stp>
        <stp>TUPLENUM:61</stp>
        <tr r="Z63" s="3"/>
      </tp>
      <tp t="e">
        <v>#N/A</v>
        <stp/>
        <stp>STREAM:AppOut</stp>
        <stp>FIELD:Price</stp>
        <stp>TUPLENUM:68</stp>
        <tr r="Z70" s="3"/>
      </tp>
      <tp t="e">
        <v>#N/A</v>
        <stp/>
        <stp>STREAM:AppOut</stp>
        <stp>FIELD:Price</stp>
        <stp>TUPLENUM:69</stp>
        <tr r="Z71" s="3"/>
      </tp>
      <tp t="e">
        <v>#N/A</v>
        <stp/>
        <stp>STREAM:AppOut</stp>
        <stp>FIELD:Price</stp>
        <stp>TUPLENUM:56</stp>
        <tr r="Z58" s="3"/>
      </tp>
      <tp t="e">
        <v>#N/A</v>
        <stp/>
        <stp>STREAM:AppOut</stp>
        <stp>FIELD:Price</stp>
        <stp>TUPLENUM:57</stp>
        <tr r="Z59" s="3"/>
      </tp>
      <tp t="e">
        <v>#N/A</v>
        <stp/>
        <stp>STREAM:AppOut</stp>
        <stp>FIELD:Price</stp>
        <stp>TUPLENUM:54</stp>
        <tr r="Z56" s="3"/>
      </tp>
      <tp t="e">
        <v>#N/A</v>
        <stp/>
        <stp>STREAM:AppOut</stp>
        <stp>FIELD:Price</stp>
        <stp>TUPLENUM:55</stp>
        <tr r="Z57" s="3"/>
      </tp>
      <tp t="e">
        <v>#N/A</v>
        <stp/>
        <stp>STREAM:AppOut</stp>
        <stp>FIELD:Price</stp>
        <stp>TUPLENUM:52</stp>
        <tr r="Z54" s="3"/>
      </tp>
      <tp t="e">
        <v>#N/A</v>
        <stp/>
        <stp>STREAM:AppOut</stp>
        <stp>FIELD:Price</stp>
        <stp>TUPLENUM:53</stp>
        <tr r="Z55" s="3"/>
      </tp>
      <tp t="e">
        <v>#N/A</v>
        <stp/>
        <stp>STREAM:AppOut</stp>
        <stp>FIELD:Price</stp>
        <stp>TUPLENUM:50</stp>
        <tr r="Z52" s="3"/>
      </tp>
      <tp t="e">
        <v>#N/A</v>
        <stp/>
        <stp>STREAM:AppOut</stp>
        <stp>FIELD:Price</stp>
        <stp>TUPLENUM:51</stp>
        <tr r="Z53" s="3"/>
      </tp>
      <tp t="e">
        <v>#N/A</v>
        <stp/>
        <stp>STREAM:AppOut</stp>
        <stp>FIELD:Price</stp>
        <stp>TUPLENUM:58</stp>
        <tr r="Z60" s="3"/>
      </tp>
      <tp t="e">
        <v>#N/A</v>
        <stp/>
        <stp>STREAM:AppOut</stp>
        <stp>FIELD:Price</stp>
        <stp>TUPLENUM:59</stp>
        <tr r="Z61" s="3"/>
      </tp>
      <tp t="e">
        <v>#N/A</v>
        <stp/>
        <stp>STREAM:AppOut</stp>
        <stp>FIELD:Price</stp>
        <stp>TUPLENUM:46</stp>
        <tr r="Z48" s="3"/>
      </tp>
      <tp t="e">
        <v>#N/A</v>
        <stp/>
        <stp>STREAM:AppOut</stp>
        <stp>FIELD:Price</stp>
        <stp>TUPLENUM:47</stp>
        <tr r="Z49" s="3"/>
      </tp>
      <tp t="e">
        <v>#N/A</v>
        <stp/>
        <stp>STREAM:AppOut</stp>
        <stp>FIELD:Price</stp>
        <stp>TUPLENUM:44</stp>
        <tr r="Z46" s="3"/>
      </tp>
      <tp t="e">
        <v>#N/A</v>
        <stp/>
        <stp>STREAM:AppOut</stp>
        <stp>FIELD:Price</stp>
        <stp>TUPLENUM:45</stp>
        <tr r="Z47" s="3"/>
      </tp>
      <tp t="e">
        <v>#N/A</v>
        <stp/>
        <stp>STREAM:AppOut</stp>
        <stp>FIELD:Price</stp>
        <stp>TUPLENUM:42</stp>
        <tr r="Z44" s="3"/>
      </tp>
      <tp t="e">
        <v>#N/A</v>
        <stp/>
        <stp>STREAM:AppOut</stp>
        <stp>FIELD:Price</stp>
        <stp>TUPLENUM:43</stp>
        <tr r="Z45" s="3"/>
      </tp>
      <tp t="e">
        <v>#N/A</v>
        <stp/>
        <stp>STREAM:AppOut</stp>
        <stp>FIELD:Price</stp>
        <stp>TUPLENUM:40</stp>
        <tr r="Z42" s="3"/>
      </tp>
      <tp t="e">
        <v>#N/A</v>
        <stp/>
        <stp>STREAM:AppOut</stp>
        <stp>FIELD:Price</stp>
        <stp>TUPLENUM:41</stp>
        <tr r="Z43" s="3"/>
      </tp>
      <tp t="e">
        <v>#N/A</v>
        <stp/>
        <stp>STREAM:AppOut</stp>
        <stp>FIELD:Price</stp>
        <stp>TUPLENUM:48</stp>
        <tr r="Z50" s="3"/>
      </tp>
      <tp t="e">
        <v>#N/A</v>
        <stp/>
        <stp>STREAM:AppOut</stp>
        <stp>FIELD:Price</stp>
        <stp>TUPLENUM:49</stp>
        <tr r="Z51" s="3"/>
      </tp>
      <tp t="e">
        <v>#N/A</v>
        <stp/>
        <stp>STREAM:AppOut</stp>
        <stp>FIELD:Price</stp>
        <stp>TUPLENUM:36</stp>
        <tr r="Z38" s="3"/>
      </tp>
      <tp t="e">
        <v>#N/A</v>
        <stp/>
        <stp>STREAM:AppOut</stp>
        <stp>FIELD:Price</stp>
        <stp>TUPLENUM:37</stp>
        <tr r="Z39" s="3"/>
      </tp>
      <tp t="e">
        <v>#N/A</v>
        <stp/>
        <stp>STREAM:AppOut</stp>
        <stp>FIELD:Price</stp>
        <stp>TUPLENUM:34</stp>
        <tr r="Z36" s="3"/>
      </tp>
      <tp t="e">
        <v>#N/A</v>
        <stp/>
        <stp>STREAM:AppOut</stp>
        <stp>FIELD:Price</stp>
        <stp>TUPLENUM:35</stp>
        <tr r="Z37" s="3"/>
      </tp>
      <tp t="e">
        <v>#N/A</v>
        <stp/>
        <stp>STREAM:AppOut</stp>
        <stp>FIELD:Price</stp>
        <stp>TUPLENUM:32</stp>
        <tr r="Z34" s="3"/>
      </tp>
      <tp t="e">
        <v>#N/A</v>
        <stp/>
        <stp>STREAM:AppOut</stp>
        <stp>FIELD:Price</stp>
        <stp>TUPLENUM:33</stp>
        <tr r="Z35" s="3"/>
      </tp>
      <tp t="e">
        <v>#N/A</v>
        <stp/>
        <stp>STREAM:AppOut</stp>
        <stp>FIELD:Price</stp>
        <stp>TUPLENUM:30</stp>
        <tr r="Z32" s="3"/>
      </tp>
      <tp t="e">
        <v>#N/A</v>
        <stp/>
        <stp>STREAM:AppOut</stp>
        <stp>FIELD:Price</stp>
        <stp>TUPLENUM:31</stp>
        <tr r="Z33" s="3"/>
      </tp>
      <tp t="e">
        <v>#N/A</v>
        <stp/>
        <stp>STREAM:AppOut</stp>
        <stp>FIELD:Price</stp>
        <stp>TUPLENUM:38</stp>
        <tr r="Z40" s="3"/>
      </tp>
      <tp t="e">
        <v>#N/A</v>
        <stp/>
        <stp>STREAM:AppOut</stp>
        <stp>FIELD:Price</stp>
        <stp>TUPLENUM:39</stp>
        <tr r="Z41" s="3"/>
      </tp>
      <tp t="e">
        <v>#N/A</v>
        <stp/>
        <stp>STREAM:AppOut</stp>
        <stp>FIELD:Price</stp>
        <stp>TUPLENUM:26</stp>
        <tr r="Z28" s="3"/>
      </tp>
      <tp t="e">
        <v>#N/A</v>
        <stp/>
        <stp>STREAM:AppOut</stp>
        <stp>FIELD:Price</stp>
        <stp>TUPLENUM:27</stp>
        <tr r="Z29" s="3"/>
      </tp>
      <tp t="e">
        <v>#N/A</v>
        <stp/>
        <stp>STREAM:AppOut</stp>
        <stp>FIELD:Price</stp>
        <stp>TUPLENUM:24</stp>
        <tr r="Z26" s="3"/>
      </tp>
      <tp t="e">
        <v>#N/A</v>
        <stp/>
        <stp>STREAM:AppOut</stp>
        <stp>FIELD:Price</stp>
        <stp>TUPLENUM:25</stp>
        <tr r="Z27" s="3"/>
      </tp>
      <tp t="e">
        <v>#N/A</v>
        <stp/>
        <stp>STREAM:AppOut</stp>
        <stp>FIELD:Price</stp>
        <stp>TUPLENUM:22</stp>
        <tr r="Z24" s="3"/>
      </tp>
      <tp t="e">
        <v>#N/A</v>
        <stp/>
        <stp>STREAM:AppOut</stp>
        <stp>FIELD:Price</stp>
        <stp>TUPLENUM:23</stp>
        <tr r="Z25" s="3"/>
      </tp>
      <tp t="e">
        <v>#N/A</v>
        <stp/>
        <stp>STREAM:AppOut</stp>
        <stp>FIELD:Price</stp>
        <stp>TUPLENUM:20</stp>
        <tr r="Z22" s="3"/>
      </tp>
      <tp t="e">
        <v>#N/A</v>
        <stp/>
        <stp>STREAM:AppOut</stp>
        <stp>FIELD:Price</stp>
        <stp>TUPLENUM:21</stp>
        <tr r="Z23" s="3"/>
      </tp>
      <tp t="e">
        <v>#N/A</v>
        <stp/>
        <stp>STREAM:AppOut</stp>
        <stp>FIELD:Price</stp>
        <stp>TUPLENUM:28</stp>
        <tr r="Z30" s="3"/>
      </tp>
      <tp t="e">
        <v>#N/A</v>
        <stp/>
        <stp>STREAM:AppOut</stp>
        <stp>FIELD:Price</stp>
        <stp>TUPLENUM:29</stp>
        <tr r="Z31" s="3"/>
      </tp>
      <tp t="e">
        <v>#N/A</v>
        <stp/>
        <stp>STREAM:AppOut</stp>
        <stp>FIELD:Price</stp>
        <stp>TUPLENUM:16</stp>
        <tr r="Z18" s="3"/>
      </tp>
      <tp t="e">
        <v>#N/A</v>
        <stp/>
        <stp>STREAM:AppOut</stp>
        <stp>FIELD:Price</stp>
        <stp>TUPLENUM:17</stp>
        <tr r="Z19" s="3"/>
      </tp>
      <tp t="e">
        <v>#N/A</v>
        <stp/>
        <stp>STREAM:AppOut</stp>
        <stp>FIELD:Price</stp>
        <stp>TUPLENUM:14</stp>
        <tr r="Z16" s="3"/>
      </tp>
      <tp t="e">
        <v>#N/A</v>
        <stp/>
        <stp>STREAM:AppOut</stp>
        <stp>FIELD:Price</stp>
        <stp>TUPLENUM:15</stp>
        <tr r="Z17" s="3"/>
      </tp>
      <tp t="e">
        <v>#N/A</v>
        <stp/>
        <stp>STREAM:AppOut</stp>
        <stp>FIELD:Price</stp>
        <stp>TUPLENUM:12</stp>
        <tr r="Z14" s="3"/>
      </tp>
      <tp t="e">
        <v>#N/A</v>
        <stp/>
        <stp>STREAM:AppOut</stp>
        <stp>FIELD:Price</stp>
        <stp>TUPLENUM:13</stp>
        <tr r="Z15" s="3"/>
      </tp>
      <tp t="e">
        <v>#N/A</v>
        <stp/>
        <stp>STREAM:AppOut</stp>
        <stp>FIELD:Price</stp>
        <stp>TUPLENUM:10</stp>
        <tr r="Z12" s="3"/>
      </tp>
      <tp t="e">
        <v>#N/A</v>
        <stp/>
        <stp>STREAM:AppOut</stp>
        <stp>FIELD:Price</stp>
        <stp>TUPLENUM:11</stp>
        <tr r="Z13" s="3"/>
      </tp>
      <tp t="e">
        <v>#N/A</v>
        <stp/>
        <stp>STREAM:AppOut</stp>
        <stp>FIELD:Price</stp>
        <stp>TUPLENUM:18</stp>
        <tr r="Z20" s="3"/>
      </tp>
      <tp t="e">
        <v>#N/A</v>
        <stp/>
        <stp>STREAM:AppOut</stp>
        <stp>FIELD:Price</stp>
        <stp>TUPLENUM:19</stp>
        <tr r="Z21" s="3"/>
      </tp>
      <tp t="e">
        <v>#N/A</v>
        <stp/>
        <stp>STREAM:AppOut</stp>
        <stp>FIELD:CumQty</stp>
        <stp>TUPLENUM:109</stp>
        <tr r="AB111" s="3"/>
      </tp>
      <tp t="e">
        <v>#N/A</v>
        <stp/>
        <stp>STREAM:AppOut</stp>
        <stp>FIELD:CumQty</stp>
        <stp>TUPLENUM:108</stp>
        <tr r="AB110" s="3"/>
      </tp>
      <tp t="e">
        <v>#N/A</v>
        <stp/>
        <stp>STREAM:AppOut</stp>
        <stp>FIELD:CumQty</stp>
        <stp>TUPLENUM:103</stp>
        <tr r="AB105" s="3"/>
      </tp>
      <tp t="e">
        <v>#N/A</v>
        <stp/>
        <stp>STREAM:AppOut</stp>
        <stp>FIELD:CumQty</stp>
        <stp>TUPLENUM:102</stp>
        <tr r="AB104" s="3"/>
      </tp>
      <tp t="e">
        <v>#N/A</v>
        <stp/>
        <stp>STREAM:AppOut</stp>
        <stp>FIELD:CumQty</stp>
        <stp>TUPLENUM:101</stp>
        <tr r="AB103" s="3"/>
      </tp>
      <tp t="e">
        <v>#N/A</v>
        <stp/>
        <stp>STREAM:AppOut</stp>
        <stp>FIELD:CumQty</stp>
        <stp>TUPLENUM:100</stp>
        <tr r="AB102" s="3"/>
      </tp>
      <tp t="e">
        <v>#N/A</v>
        <stp/>
        <stp>STREAM:AppOut</stp>
        <stp>FIELD:CumQty</stp>
        <stp>TUPLENUM:107</stp>
        <tr r="AB109" s="3"/>
      </tp>
      <tp t="e">
        <v>#N/A</v>
        <stp/>
        <stp>STREAM:AppOut</stp>
        <stp>FIELD:CumQty</stp>
        <stp>TUPLENUM:106</stp>
        <tr r="AB108" s="3"/>
      </tp>
      <tp t="e">
        <v>#N/A</v>
        <stp/>
        <stp>STREAM:AppOut</stp>
        <stp>FIELD:CumQty</stp>
        <stp>TUPLENUM:105</stp>
        <tr r="AB107" s="3"/>
      </tp>
      <tp t="e">
        <v>#N/A</v>
        <stp/>
        <stp>STREAM:AppOut</stp>
        <stp>FIELD:CumQty</stp>
        <stp>TUPLENUM:104</stp>
        <tr r="AB106" s="3"/>
      </tp>
      <tp t="e">
        <v>#N/A</v>
        <stp/>
        <stp>STREAM:AppOut</stp>
        <stp>FIELD:CumQty</stp>
        <stp>TUPLENUM:119</stp>
        <tr r="AB121" s="3"/>
      </tp>
      <tp t="e">
        <v>#N/A</v>
        <stp/>
        <stp>STREAM:AppOut</stp>
        <stp>FIELD:CumQty</stp>
        <stp>TUPLENUM:118</stp>
        <tr r="AB120" s="3"/>
      </tp>
      <tp t="e">
        <v>#N/A</v>
        <stp/>
        <stp>STREAM:AppOut</stp>
        <stp>FIELD:CumQty</stp>
        <stp>TUPLENUM:113</stp>
        <tr r="AB115" s="3"/>
      </tp>
      <tp t="e">
        <v>#N/A</v>
        <stp/>
        <stp>STREAM:AppOut</stp>
        <stp>FIELD:CumQty</stp>
        <stp>TUPLENUM:112</stp>
        <tr r="AB114" s="3"/>
      </tp>
      <tp t="e">
        <v>#N/A</v>
        <stp/>
        <stp>STREAM:AppOut</stp>
        <stp>FIELD:CumQty</stp>
        <stp>TUPLENUM:111</stp>
        <tr r="AB113" s="3"/>
      </tp>
      <tp t="e">
        <v>#N/A</v>
        <stp/>
        <stp>STREAM:AppOut</stp>
        <stp>FIELD:CumQty</stp>
        <stp>TUPLENUM:110</stp>
        <tr r="AB112" s="3"/>
      </tp>
      <tp t="e">
        <v>#N/A</v>
        <stp/>
        <stp>STREAM:AppOut</stp>
        <stp>FIELD:CumQty</stp>
        <stp>TUPLENUM:117</stp>
        <tr r="AB119" s="3"/>
      </tp>
      <tp t="e">
        <v>#N/A</v>
        <stp/>
        <stp>STREAM:AppOut</stp>
        <stp>FIELD:CumQty</stp>
        <stp>TUPLENUM:116</stp>
        <tr r="AB118" s="3"/>
      </tp>
      <tp t="e">
        <v>#N/A</v>
        <stp/>
        <stp>STREAM:AppOut</stp>
        <stp>FIELD:CumQty</stp>
        <stp>TUPLENUM:115</stp>
        <tr r="AB117" s="3"/>
      </tp>
      <tp t="e">
        <v>#N/A</v>
        <stp/>
        <stp>STREAM:AppOut</stp>
        <stp>FIELD:CumQty</stp>
        <stp>TUPLENUM:114</stp>
        <tr r="AB116" s="3"/>
      </tp>
      <tp t="e">
        <v>#N/A</v>
        <stp/>
        <stp>STREAM:AppOut</stp>
        <stp>FIELD:CumQty</stp>
        <stp>TUPLENUM:129</stp>
        <tr r="AB131" s="3"/>
      </tp>
      <tp t="e">
        <v>#N/A</v>
        <stp/>
        <stp>STREAM:AppOut</stp>
        <stp>FIELD:CumQty</stp>
        <stp>TUPLENUM:128</stp>
        <tr r="AB130" s="3"/>
      </tp>
      <tp t="e">
        <v>#N/A</v>
        <stp/>
        <stp>STREAM:AppOut</stp>
        <stp>FIELD:CumQty</stp>
        <stp>TUPLENUM:123</stp>
        <tr r="AB125" s="3"/>
      </tp>
      <tp t="e">
        <v>#N/A</v>
        <stp/>
        <stp>STREAM:AppOut</stp>
        <stp>FIELD:CumQty</stp>
        <stp>TUPLENUM:122</stp>
        <tr r="AB124" s="3"/>
      </tp>
      <tp t="e">
        <v>#N/A</v>
        <stp/>
        <stp>STREAM:AppOut</stp>
        <stp>FIELD:CumQty</stp>
        <stp>TUPLENUM:121</stp>
        <tr r="AB123" s="3"/>
      </tp>
      <tp t="e">
        <v>#N/A</v>
        <stp/>
        <stp>STREAM:AppOut</stp>
        <stp>FIELD:CumQty</stp>
        <stp>TUPLENUM:120</stp>
        <tr r="AB122" s="3"/>
      </tp>
      <tp t="e">
        <v>#N/A</v>
        <stp/>
        <stp>STREAM:AppOut</stp>
        <stp>FIELD:CumQty</stp>
        <stp>TUPLENUM:127</stp>
        <tr r="AB129" s="3"/>
      </tp>
      <tp t="e">
        <v>#N/A</v>
        <stp/>
        <stp>STREAM:AppOut</stp>
        <stp>FIELD:CumQty</stp>
        <stp>TUPLENUM:126</stp>
        <tr r="AB128" s="3"/>
      </tp>
      <tp t="e">
        <v>#N/A</v>
        <stp/>
        <stp>STREAM:AppOut</stp>
        <stp>FIELD:CumQty</stp>
        <stp>TUPLENUM:125</stp>
        <tr r="AB127" s="3"/>
      </tp>
      <tp t="e">
        <v>#N/A</v>
        <stp/>
        <stp>STREAM:AppOut</stp>
        <stp>FIELD:CumQty</stp>
        <stp>TUPLENUM:124</stp>
        <tr r="AB126" s="3"/>
      </tp>
      <tp t="e">
        <v>#N/A</v>
        <stp/>
        <stp>STREAM:AppOut</stp>
        <stp>FIELD:CumQty</stp>
        <stp>TUPLENUM:139</stp>
        <tr r="AB141" s="3"/>
      </tp>
      <tp t="e">
        <v>#N/A</v>
        <stp/>
        <stp>STREAM:AppOut</stp>
        <stp>FIELD:CumQty</stp>
        <stp>TUPLENUM:138</stp>
        <tr r="AB140" s="3"/>
      </tp>
      <tp t="e">
        <v>#N/A</v>
        <stp/>
        <stp>STREAM:AppOut</stp>
        <stp>FIELD:CumQty</stp>
        <stp>TUPLENUM:133</stp>
        <tr r="AB135" s="3"/>
      </tp>
      <tp t="e">
        <v>#N/A</v>
        <stp/>
        <stp>STREAM:AppOut</stp>
        <stp>FIELD:CumQty</stp>
        <stp>TUPLENUM:132</stp>
        <tr r="AB134" s="3"/>
      </tp>
      <tp t="e">
        <v>#N/A</v>
        <stp/>
        <stp>STREAM:AppOut</stp>
        <stp>FIELD:CumQty</stp>
        <stp>TUPLENUM:131</stp>
        <tr r="AB133" s="3"/>
      </tp>
      <tp t="e">
        <v>#N/A</v>
        <stp/>
        <stp>STREAM:AppOut</stp>
        <stp>FIELD:CumQty</stp>
        <stp>TUPLENUM:130</stp>
        <tr r="AB132" s="3"/>
      </tp>
      <tp t="e">
        <v>#N/A</v>
        <stp/>
        <stp>STREAM:AppOut</stp>
        <stp>FIELD:CumQty</stp>
        <stp>TUPLENUM:137</stp>
        <tr r="AB139" s="3"/>
      </tp>
      <tp t="e">
        <v>#N/A</v>
        <stp/>
        <stp>STREAM:AppOut</stp>
        <stp>FIELD:CumQty</stp>
        <stp>TUPLENUM:136</stp>
        <tr r="AB138" s="3"/>
      </tp>
      <tp t="e">
        <v>#N/A</v>
        <stp/>
        <stp>STREAM:AppOut</stp>
        <stp>FIELD:CumQty</stp>
        <stp>TUPLENUM:135</stp>
        <tr r="AB137" s="3"/>
      </tp>
      <tp t="e">
        <v>#N/A</v>
        <stp/>
        <stp>STREAM:AppOut</stp>
        <stp>FIELD:CumQty</stp>
        <stp>TUPLENUM:134</stp>
        <tr r="AB136" s="3"/>
      </tp>
      <tp t="e">
        <v>#N/A</v>
        <stp/>
        <stp>STREAM:AppOut</stp>
        <stp>FIELD:CumQty</stp>
        <stp>TUPLENUM:140</stp>
        <tr r="AB142" s="3"/>
      </tp>
      <tp t="e">
        <v>#N/A</v>
        <stp/>
        <stp>STREAM:AppOut</stp>
        <stp>FIELD:LeavesQty</stp>
        <stp>TUPLENUM:139</stp>
        <tr r="AG141" s="3"/>
      </tp>
      <tp t="e">
        <v>#N/A</v>
        <stp/>
        <stp>STREAM:AppOut</stp>
        <stp>FIELD:LeavesQty</stp>
        <stp>TUPLENUM:138</stp>
        <tr r="AG140" s="3"/>
      </tp>
      <tp t="e">
        <v>#N/A</v>
        <stp/>
        <stp>STREAM:AppOut</stp>
        <stp>FIELD:LeavesQty</stp>
        <stp>TUPLENUM:131</stp>
        <tr r="AG133" s="3"/>
      </tp>
      <tp t="e">
        <v>#N/A</v>
        <stp/>
        <stp>STREAM:AppOut</stp>
        <stp>FIELD:LeavesQty</stp>
        <stp>TUPLENUM:130</stp>
        <tr r="AG132" s="3"/>
      </tp>
      <tp t="e">
        <v>#N/A</v>
        <stp/>
        <stp>STREAM:AppOut</stp>
        <stp>FIELD:LeavesQty</stp>
        <stp>TUPLENUM:133</stp>
        <tr r="AG135" s="3"/>
      </tp>
      <tp t="e">
        <v>#N/A</v>
        <stp/>
        <stp>STREAM:AppOut</stp>
        <stp>FIELD:LeavesQty</stp>
        <stp>TUPLENUM:132</stp>
        <tr r="AG134" s="3"/>
      </tp>
      <tp t="e">
        <v>#N/A</v>
        <stp/>
        <stp>STREAM:AppOut</stp>
        <stp>FIELD:LeavesQty</stp>
        <stp>TUPLENUM:135</stp>
        <tr r="AG137" s="3"/>
      </tp>
      <tp t="e">
        <v>#N/A</v>
        <stp/>
        <stp>STREAM:AppOut</stp>
        <stp>FIELD:LeavesQty</stp>
        <stp>TUPLENUM:134</stp>
        <tr r="AG136" s="3"/>
      </tp>
      <tp t="e">
        <v>#N/A</v>
        <stp/>
        <stp>STREAM:AppOut</stp>
        <stp>FIELD:LeavesQty</stp>
        <stp>TUPLENUM:137</stp>
        <tr r="AG139" s="3"/>
      </tp>
      <tp t="e">
        <v>#N/A</v>
        <stp/>
        <stp>STREAM:AppOut</stp>
        <stp>FIELD:LeavesQty</stp>
        <stp>TUPLENUM:136</stp>
        <tr r="AG138" s="3"/>
      </tp>
      <tp t="e">
        <v>#N/A</v>
        <stp/>
        <stp>STREAM:AppOut</stp>
        <stp>FIELD:LeavesQty</stp>
        <stp>TUPLENUM:129</stp>
        <tr r="AG131" s="3"/>
      </tp>
      <tp t="e">
        <v>#N/A</v>
        <stp/>
        <stp>STREAM:AppOut</stp>
        <stp>FIELD:LeavesQty</stp>
        <stp>TUPLENUM:128</stp>
        <tr r="AG130" s="3"/>
      </tp>
      <tp t="e">
        <v>#N/A</v>
        <stp/>
        <stp>STREAM:AppOut</stp>
        <stp>FIELD:LeavesQty</stp>
        <stp>TUPLENUM:121</stp>
        <tr r="AG123" s="3"/>
      </tp>
      <tp t="e">
        <v>#N/A</v>
        <stp/>
        <stp>STREAM:AppOut</stp>
        <stp>FIELD:LeavesQty</stp>
        <stp>TUPLENUM:120</stp>
        <tr r="AG122" s="3"/>
      </tp>
      <tp t="e">
        <v>#N/A</v>
        <stp/>
        <stp>STREAM:AppOut</stp>
        <stp>FIELD:LeavesQty</stp>
        <stp>TUPLENUM:123</stp>
        <tr r="AG125" s="3"/>
      </tp>
      <tp t="e">
        <v>#N/A</v>
        <stp/>
        <stp>STREAM:AppOut</stp>
        <stp>FIELD:LeavesQty</stp>
        <stp>TUPLENUM:122</stp>
        <tr r="AG124" s="3"/>
      </tp>
      <tp t="e">
        <v>#N/A</v>
        <stp/>
        <stp>STREAM:AppOut</stp>
        <stp>FIELD:LeavesQty</stp>
        <stp>TUPLENUM:125</stp>
        <tr r="AG127" s="3"/>
      </tp>
      <tp t="e">
        <v>#N/A</v>
        <stp/>
        <stp>STREAM:AppOut</stp>
        <stp>FIELD:LeavesQty</stp>
        <stp>TUPLENUM:124</stp>
        <tr r="AG126" s="3"/>
      </tp>
      <tp t="e">
        <v>#N/A</v>
        <stp/>
        <stp>STREAM:AppOut</stp>
        <stp>FIELD:LeavesQty</stp>
        <stp>TUPLENUM:127</stp>
        <tr r="AG129" s="3"/>
      </tp>
      <tp t="e">
        <v>#N/A</v>
        <stp/>
        <stp>STREAM:AppOut</stp>
        <stp>FIELD:LeavesQty</stp>
        <stp>TUPLENUM:126</stp>
        <tr r="AG128" s="3"/>
      </tp>
      <tp t="e">
        <v>#N/A</v>
        <stp/>
        <stp>STREAM:AppOut</stp>
        <stp>FIELD:LeavesQty</stp>
        <stp>TUPLENUM:119</stp>
        <tr r="AG121" s="3"/>
      </tp>
      <tp t="e">
        <v>#N/A</v>
        <stp/>
        <stp>STREAM:AppOut</stp>
        <stp>FIELD:LeavesQty</stp>
        <stp>TUPLENUM:118</stp>
        <tr r="AG120" s="3"/>
      </tp>
      <tp t="e">
        <v>#N/A</v>
        <stp/>
        <stp>STREAM:AppOut</stp>
        <stp>FIELD:LeavesQty</stp>
        <stp>TUPLENUM:111</stp>
        <tr r="AG113" s="3"/>
      </tp>
      <tp t="e">
        <v>#N/A</v>
        <stp/>
        <stp>STREAM:AppOut</stp>
        <stp>FIELD:LeavesQty</stp>
        <stp>TUPLENUM:110</stp>
        <tr r="AG112" s="3"/>
      </tp>
      <tp t="e">
        <v>#N/A</v>
        <stp/>
        <stp>STREAM:AppOut</stp>
        <stp>FIELD:LeavesQty</stp>
        <stp>TUPLENUM:113</stp>
        <tr r="AG115" s="3"/>
      </tp>
      <tp t="e">
        <v>#N/A</v>
        <stp/>
        <stp>STREAM:AppOut</stp>
        <stp>FIELD:LeavesQty</stp>
        <stp>TUPLENUM:112</stp>
        <tr r="AG114" s="3"/>
      </tp>
      <tp t="e">
        <v>#N/A</v>
        <stp/>
        <stp>STREAM:AppOut</stp>
        <stp>FIELD:LeavesQty</stp>
        <stp>TUPLENUM:115</stp>
        <tr r="AG117" s="3"/>
      </tp>
      <tp t="e">
        <v>#N/A</v>
        <stp/>
        <stp>STREAM:AppOut</stp>
        <stp>FIELD:LeavesQty</stp>
        <stp>TUPLENUM:114</stp>
        <tr r="AG116" s="3"/>
      </tp>
      <tp t="e">
        <v>#N/A</v>
        <stp/>
        <stp>STREAM:AppOut</stp>
        <stp>FIELD:LeavesQty</stp>
        <stp>TUPLENUM:117</stp>
        <tr r="AG119" s="3"/>
      </tp>
      <tp t="e">
        <v>#N/A</v>
        <stp/>
        <stp>STREAM:AppOut</stp>
        <stp>FIELD:LeavesQty</stp>
        <stp>TUPLENUM:116</stp>
        <tr r="AG118" s="3"/>
      </tp>
      <tp t="e">
        <v>#N/A</v>
        <stp/>
        <stp>STREAM:AppOut</stp>
        <stp>FIELD:LeavesQty</stp>
        <stp>TUPLENUM:109</stp>
        <tr r="AG111" s="3"/>
      </tp>
      <tp t="e">
        <v>#N/A</v>
        <stp/>
        <stp>STREAM:AppOut</stp>
        <stp>FIELD:LeavesQty</stp>
        <stp>TUPLENUM:108</stp>
        <tr r="AG110" s="3"/>
      </tp>
      <tp t="e">
        <v>#N/A</v>
        <stp/>
        <stp>STREAM:AppOut</stp>
        <stp>FIELD:LeavesQty</stp>
        <stp>TUPLENUM:101</stp>
        <tr r="AG103" s="3"/>
      </tp>
      <tp t="e">
        <v>#N/A</v>
        <stp/>
        <stp>STREAM:AppOut</stp>
        <stp>FIELD:LeavesQty</stp>
        <stp>TUPLENUM:100</stp>
        <tr r="AG102" s="3"/>
      </tp>
      <tp t="e">
        <v>#N/A</v>
        <stp/>
        <stp>STREAM:AppOut</stp>
        <stp>FIELD:LeavesQty</stp>
        <stp>TUPLENUM:103</stp>
        <tr r="AG105" s="3"/>
      </tp>
      <tp t="e">
        <v>#N/A</v>
        <stp/>
        <stp>STREAM:AppOut</stp>
        <stp>FIELD:LeavesQty</stp>
        <stp>TUPLENUM:102</stp>
        <tr r="AG104" s="3"/>
      </tp>
      <tp t="e">
        <v>#N/A</v>
        <stp/>
        <stp>STREAM:AppOut</stp>
        <stp>FIELD:LeavesQty</stp>
        <stp>TUPLENUM:105</stp>
        <tr r="AG107" s="3"/>
      </tp>
      <tp t="e">
        <v>#N/A</v>
        <stp/>
        <stp>STREAM:AppOut</stp>
        <stp>FIELD:LeavesQty</stp>
        <stp>TUPLENUM:104</stp>
        <tr r="AG106" s="3"/>
      </tp>
      <tp t="e">
        <v>#N/A</v>
        <stp/>
        <stp>STREAM:AppOut</stp>
        <stp>FIELD:LeavesQty</stp>
        <stp>TUPLENUM:107</stp>
        <tr r="AG109" s="3"/>
      </tp>
      <tp t="e">
        <v>#N/A</v>
        <stp/>
        <stp>STREAM:AppOut</stp>
        <stp>FIELD:LeavesQty</stp>
        <stp>TUPLENUM:106</stp>
        <tr r="AG108" s="3"/>
      </tp>
      <tp t="e">
        <v>#N/A</v>
        <stp/>
        <stp>STREAM:AppOut</stp>
        <stp>FIELD:LeavesQty</stp>
        <stp>TUPLENUM:140</stp>
        <tr r="AG142" s="3"/>
      </tp>
      <tp t="e">
        <v>#N/A</v>
        <stp/>
        <stp>STREAM:AppOut</stp>
        <stp>FIELD:OrderQty</stp>
        <stp>TUPLENUM:1</stp>
        <tr r="AA3" s="3"/>
      </tp>
      <tp t="e">
        <v>#N/A</v>
        <stp/>
        <stp>STREAM:AppOut</stp>
        <stp>FIELD:OrderQty</stp>
        <stp>TUPLENUM:2</stp>
        <tr r="AA4" s="3"/>
      </tp>
      <tp t="e">
        <v>#N/A</v>
        <stp/>
        <stp>STREAM:AppOut</stp>
        <stp>FIELD:OrderQty</stp>
        <stp>TUPLENUM:3</stp>
        <tr r="AA5" s="3"/>
      </tp>
      <tp t="e">
        <v>#N/A</v>
        <stp/>
        <stp>STREAM:AppOut</stp>
        <stp>FIELD:OrderQty</stp>
        <stp>TUPLENUM:4</stp>
        <tr r="AA6" s="3"/>
      </tp>
      <tp t="e">
        <v>#N/A</v>
        <stp/>
        <stp>STREAM:AppOut</stp>
        <stp>FIELD:OrderQty</stp>
        <stp>TUPLENUM:5</stp>
        <tr r="AA7" s="3"/>
      </tp>
      <tp t="e">
        <v>#N/A</v>
        <stp/>
        <stp>STREAM:AppOut</stp>
        <stp>FIELD:OrderQty</stp>
        <stp>TUPLENUM:6</stp>
        <tr r="AA8" s="3"/>
      </tp>
      <tp t="e">
        <v>#N/A</v>
        <stp/>
        <stp>STREAM:AppOut</stp>
        <stp>FIELD:OrderQty</stp>
        <stp>TUPLENUM:7</stp>
        <tr r="AA9" s="3"/>
      </tp>
      <tp t="e">
        <v>#N/A</v>
        <stp/>
        <stp>STREAM:AppOut</stp>
        <stp>FIELD:OrderQty</stp>
        <stp>TUPLENUM:8</stp>
        <tr r="AA10" s="3"/>
      </tp>
      <tp t="e">
        <v>#N/A</v>
        <stp/>
        <stp>STREAM:AppOut</stp>
        <stp>FIELD:OrderQty</stp>
        <stp>TUPLENUM:9</stp>
        <tr r="AA11" s="3"/>
      </tp>
      <tp t="e">
        <v>#N/A</v>
        <stp/>
        <stp>STREAM:AppOut</stp>
        <stp>FIELD:UpdateNumber</stp>
        <stp>TUPLENUM:94</stp>
        <tr r="AD96" s="3"/>
      </tp>
      <tp t="e">
        <v>#N/A</v>
        <stp/>
        <stp>STREAM:AppOut</stp>
        <stp>FIELD:UpdateNumber</stp>
        <stp>TUPLENUM:95</stp>
        <tr r="AD97" s="3"/>
      </tp>
      <tp t="e">
        <v>#N/A</v>
        <stp/>
        <stp>STREAM:AppOut</stp>
        <stp>FIELD:UpdateNumber</stp>
        <stp>TUPLENUM:96</stp>
        <tr r="AD98" s="3"/>
      </tp>
      <tp t="e">
        <v>#N/A</v>
        <stp/>
        <stp>STREAM:AppOut</stp>
        <stp>FIELD:UpdateNumber</stp>
        <stp>TUPLENUM:97</stp>
        <tr r="AD99" s="3"/>
      </tp>
      <tp t="e">
        <v>#N/A</v>
        <stp/>
        <stp>STREAM:AppOut</stp>
        <stp>FIELD:UpdateNumber</stp>
        <stp>TUPLENUM:90</stp>
        <tr r="AD92" s="3"/>
      </tp>
      <tp t="e">
        <v>#N/A</v>
        <stp/>
        <stp>STREAM:AppOut</stp>
        <stp>FIELD:UpdateNumber</stp>
        <stp>TUPLENUM:91</stp>
        <tr r="AD93" s="3"/>
      </tp>
      <tp t="e">
        <v>#N/A</v>
        <stp/>
        <stp>STREAM:AppOut</stp>
        <stp>FIELD:UpdateNumber</stp>
        <stp>TUPLENUM:92</stp>
        <tr r="AD94" s="3"/>
      </tp>
      <tp t="e">
        <v>#N/A</v>
        <stp/>
        <stp>STREAM:AppOut</stp>
        <stp>FIELD:UpdateNumber</stp>
        <stp>TUPLENUM:93</stp>
        <tr r="AD95" s="3"/>
      </tp>
      <tp t="e">
        <v>#N/A</v>
        <stp/>
        <stp>STREAM:AppOut</stp>
        <stp>FIELD:UpdateNumber</stp>
        <stp>TUPLENUM:98</stp>
        <tr r="AD100" s="3"/>
      </tp>
      <tp t="e">
        <v>#N/A</v>
        <stp/>
        <stp>STREAM:AppOut</stp>
        <stp>FIELD:UpdateNumber</stp>
        <stp>TUPLENUM:99</stp>
        <tr r="AD101" s="3"/>
      </tp>
      <tp t="e">
        <v>#N/A</v>
        <stp/>
        <stp>STREAM:AppOut</stp>
        <stp>FIELD:UpdateNumber</stp>
        <stp>TUPLENUM:84</stp>
        <tr r="AD86" s="3"/>
      </tp>
      <tp t="e">
        <v>#N/A</v>
        <stp/>
        <stp>STREAM:AppOut</stp>
        <stp>FIELD:UpdateNumber</stp>
        <stp>TUPLENUM:85</stp>
        <tr r="AD87" s="3"/>
      </tp>
      <tp t="e">
        <v>#N/A</v>
        <stp/>
        <stp>STREAM:AppOut</stp>
        <stp>FIELD:UpdateNumber</stp>
        <stp>TUPLENUM:86</stp>
        <tr r="AD88" s="3"/>
      </tp>
      <tp t="e">
        <v>#N/A</v>
        <stp/>
        <stp>STREAM:AppOut</stp>
        <stp>FIELD:UpdateNumber</stp>
        <stp>TUPLENUM:87</stp>
        <tr r="AD89" s="3"/>
      </tp>
      <tp t="e">
        <v>#N/A</v>
        <stp/>
        <stp>STREAM:AppOut</stp>
        <stp>FIELD:UpdateNumber</stp>
        <stp>TUPLENUM:80</stp>
        <tr r="AD82" s="3"/>
      </tp>
      <tp t="e">
        <v>#N/A</v>
        <stp/>
        <stp>STREAM:AppOut</stp>
        <stp>FIELD:UpdateNumber</stp>
        <stp>TUPLENUM:81</stp>
        <tr r="AD83" s="3"/>
      </tp>
      <tp t="e">
        <v>#N/A</v>
        <stp/>
        <stp>STREAM:AppOut</stp>
        <stp>FIELD:UpdateNumber</stp>
        <stp>TUPLENUM:82</stp>
        <tr r="AD84" s="3"/>
      </tp>
      <tp t="e">
        <v>#N/A</v>
        <stp/>
        <stp>STREAM:AppOut</stp>
        <stp>FIELD:UpdateNumber</stp>
        <stp>TUPLENUM:83</stp>
        <tr r="AD85" s="3"/>
      </tp>
      <tp t="e">
        <v>#N/A</v>
        <stp/>
        <stp>STREAM:AppOut</stp>
        <stp>FIELD:UpdateNumber</stp>
        <stp>TUPLENUM:88</stp>
        <tr r="AD90" s="3"/>
      </tp>
      <tp t="e">
        <v>#N/A</v>
        <stp/>
        <stp>STREAM:AppOut</stp>
        <stp>FIELD:UpdateNumber</stp>
        <stp>TUPLENUM:89</stp>
        <tr r="AD91" s="3"/>
      </tp>
      <tp t="e">
        <v>#N/A</v>
        <stp/>
        <stp>STREAM:AppOut</stp>
        <stp>FIELD:UpdateNumber</stp>
        <stp>TUPLENUM:74</stp>
        <tr r="AD76" s="3"/>
      </tp>
      <tp t="e">
        <v>#N/A</v>
        <stp/>
        <stp>STREAM:AppOut</stp>
        <stp>FIELD:UpdateNumber</stp>
        <stp>TUPLENUM:75</stp>
        <tr r="AD77" s="3"/>
      </tp>
      <tp t="e">
        <v>#N/A</v>
        <stp/>
        <stp>STREAM:AppOut</stp>
        <stp>FIELD:UpdateNumber</stp>
        <stp>TUPLENUM:76</stp>
        <tr r="AD78" s="3"/>
      </tp>
      <tp t="e">
        <v>#N/A</v>
        <stp/>
        <stp>STREAM:AppOut</stp>
        <stp>FIELD:UpdateNumber</stp>
        <stp>TUPLENUM:77</stp>
        <tr r="AD79" s="3"/>
      </tp>
      <tp t="e">
        <v>#N/A</v>
        <stp/>
        <stp>STREAM:AppOut</stp>
        <stp>FIELD:UpdateNumber</stp>
        <stp>TUPLENUM:70</stp>
        <tr r="AD72" s="3"/>
      </tp>
      <tp t="e">
        <v>#N/A</v>
        <stp/>
        <stp>STREAM:AppOut</stp>
        <stp>FIELD:UpdateNumber</stp>
        <stp>TUPLENUM:71</stp>
        <tr r="AD73" s="3"/>
      </tp>
      <tp t="e">
        <v>#N/A</v>
        <stp/>
        <stp>STREAM:AppOut</stp>
        <stp>FIELD:UpdateNumber</stp>
        <stp>TUPLENUM:72</stp>
        <tr r="AD74" s="3"/>
      </tp>
      <tp t="e">
        <v>#N/A</v>
        <stp/>
        <stp>STREAM:AppOut</stp>
        <stp>FIELD:UpdateNumber</stp>
        <stp>TUPLENUM:73</stp>
        <tr r="AD75" s="3"/>
      </tp>
      <tp t="e">
        <v>#N/A</v>
        <stp/>
        <stp>STREAM:AppOut</stp>
        <stp>FIELD:UpdateNumber</stp>
        <stp>TUPLENUM:78</stp>
        <tr r="AD80" s="3"/>
      </tp>
      <tp t="e">
        <v>#N/A</v>
        <stp/>
        <stp>STREAM:AppOut</stp>
        <stp>FIELD:UpdateNumber</stp>
        <stp>TUPLENUM:79</stp>
        <tr r="AD81" s="3"/>
      </tp>
      <tp t="e">
        <v>#N/A</v>
        <stp/>
        <stp>STREAM:AppOut</stp>
        <stp>FIELD:UpdateNumber</stp>
        <stp>TUPLENUM:64</stp>
        <tr r="AD66" s="3"/>
      </tp>
      <tp t="e">
        <v>#N/A</v>
        <stp/>
        <stp>STREAM:AppOut</stp>
        <stp>FIELD:UpdateNumber</stp>
        <stp>TUPLENUM:65</stp>
        <tr r="AD67" s="3"/>
      </tp>
      <tp t="e">
        <v>#N/A</v>
        <stp/>
        <stp>STREAM:AppOut</stp>
        <stp>FIELD:UpdateNumber</stp>
        <stp>TUPLENUM:66</stp>
        <tr r="AD68" s="3"/>
      </tp>
      <tp t="e">
        <v>#N/A</v>
        <stp/>
        <stp>STREAM:AppOut</stp>
        <stp>FIELD:UpdateNumber</stp>
        <stp>TUPLENUM:67</stp>
        <tr r="AD69" s="3"/>
      </tp>
      <tp t="e">
        <v>#N/A</v>
        <stp/>
        <stp>STREAM:AppOut</stp>
        <stp>FIELD:UpdateNumber</stp>
        <stp>TUPLENUM:60</stp>
        <tr r="AD62" s="3"/>
      </tp>
      <tp t="e">
        <v>#N/A</v>
        <stp/>
        <stp>STREAM:AppOut</stp>
        <stp>FIELD:UpdateNumber</stp>
        <stp>TUPLENUM:61</stp>
        <tr r="AD63" s="3"/>
      </tp>
      <tp t="e">
        <v>#N/A</v>
        <stp/>
        <stp>STREAM:AppOut</stp>
        <stp>FIELD:UpdateNumber</stp>
        <stp>TUPLENUM:62</stp>
        <tr r="AD64" s="3"/>
      </tp>
      <tp t="e">
        <v>#N/A</v>
        <stp/>
        <stp>STREAM:AppOut</stp>
        <stp>FIELD:UpdateNumber</stp>
        <stp>TUPLENUM:63</stp>
        <tr r="AD65" s="3"/>
      </tp>
      <tp t="e">
        <v>#N/A</v>
        <stp/>
        <stp>STREAM:AppOut</stp>
        <stp>FIELD:UpdateNumber</stp>
        <stp>TUPLENUM:68</stp>
        <tr r="AD70" s="3"/>
      </tp>
      <tp t="e">
        <v>#N/A</v>
        <stp/>
        <stp>STREAM:AppOut</stp>
        <stp>FIELD:UpdateNumber</stp>
        <stp>TUPLENUM:69</stp>
        <tr r="AD71" s="3"/>
      </tp>
      <tp t="e">
        <v>#N/A</v>
        <stp/>
        <stp>STREAM:AppOut</stp>
        <stp>FIELD:UpdateNumber</stp>
        <stp>TUPLENUM:54</stp>
        <tr r="AD56" s="3"/>
      </tp>
      <tp t="e">
        <v>#N/A</v>
        <stp/>
        <stp>STREAM:AppOut</stp>
        <stp>FIELD:UpdateNumber</stp>
        <stp>TUPLENUM:55</stp>
        <tr r="AD57" s="3"/>
      </tp>
      <tp t="e">
        <v>#N/A</v>
        <stp/>
        <stp>STREAM:AppOut</stp>
        <stp>FIELD:UpdateNumber</stp>
        <stp>TUPLENUM:56</stp>
        <tr r="AD58" s="3"/>
      </tp>
      <tp t="e">
        <v>#N/A</v>
        <stp/>
        <stp>STREAM:AppOut</stp>
        <stp>FIELD:UpdateNumber</stp>
        <stp>TUPLENUM:57</stp>
        <tr r="AD59" s="3"/>
      </tp>
      <tp t="e">
        <v>#N/A</v>
        <stp/>
        <stp>STREAM:AppOut</stp>
        <stp>FIELD:UpdateNumber</stp>
        <stp>TUPLENUM:50</stp>
        <tr r="AD52" s="3"/>
      </tp>
      <tp t="e">
        <v>#N/A</v>
        <stp/>
        <stp>STREAM:AppOut</stp>
        <stp>FIELD:UpdateNumber</stp>
        <stp>TUPLENUM:51</stp>
        <tr r="AD53" s="3"/>
      </tp>
      <tp t="e">
        <v>#N/A</v>
        <stp/>
        <stp>STREAM:AppOut</stp>
        <stp>FIELD:UpdateNumber</stp>
        <stp>TUPLENUM:52</stp>
        <tr r="AD54" s="3"/>
      </tp>
      <tp t="e">
        <v>#N/A</v>
        <stp/>
        <stp>STREAM:AppOut</stp>
        <stp>FIELD:UpdateNumber</stp>
        <stp>TUPLENUM:53</stp>
        <tr r="AD55" s="3"/>
      </tp>
      <tp t="e">
        <v>#N/A</v>
        <stp/>
        <stp>STREAM:AppOut</stp>
        <stp>FIELD:UpdateNumber</stp>
        <stp>TUPLENUM:58</stp>
        <tr r="AD60" s="3"/>
      </tp>
      <tp t="e">
        <v>#N/A</v>
        <stp/>
        <stp>STREAM:AppOut</stp>
        <stp>FIELD:UpdateNumber</stp>
        <stp>TUPLENUM:59</stp>
        <tr r="AD61" s="3"/>
      </tp>
      <tp t="e">
        <v>#N/A</v>
        <stp/>
        <stp>STREAM:AppOut</stp>
        <stp>FIELD:UpdateNumber</stp>
        <stp>TUPLENUM:44</stp>
        <tr r="AD46" s="3"/>
      </tp>
      <tp t="e">
        <v>#N/A</v>
        <stp/>
        <stp>STREAM:AppOut</stp>
        <stp>FIELD:UpdateNumber</stp>
        <stp>TUPLENUM:45</stp>
        <tr r="AD47" s="3"/>
      </tp>
      <tp t="e">
        <v>#N/A</v>
        <stp/>
        <stp>STREAM:AppOut</stp>
        <stp>FIELD:UpdateNumber</stp>
        <stp>TUPLENUM:46</stp>
        <tr r="AD48" s="3"/>
      </tp>
      <tp t="e">
        <v>#N/A</v>
        <stp/>
        <stp>STREAM:AppOut</stp>
        <stp>FIELD:UpdateNumber</stp>
        <stp>TUPLENUM:47</stp>
        <tr r="AD49" s="3"/>
      </tp>
      <tp t="e">
        <v>#N/A</v>
        <stp/>
        <stp>STREAM:AppOut</stp>
        <stp>FIELD:UpdateNumber</stp>
        <stp>TUPLENUM:40</stp>
        <tr r="AD42" s="3"/>
      </tp>
      <tp t="e">
        <v>#N/A</v>
        <stp/>
        <stp>STREAM:AppOut</stp>
        <stp>FIELD:UpdateNumber</stp>
        <stp>TUPLENUM:41</stp>
        <tr r="AD43" s="3"/>
      </tp>
      <tp t="e">
        <v>#N/A</v>
        <stp/>
        <stp>STREAM:AppOut</stp>
        <stp>FIELD:UpdateNumber</stp>
        <stp>TUPLENUM:42</stp>
        <tr r="AD44" s="3"/>
      </tp>
      <tp t="e">
        <v>#N/A</v>
        <stp/>
        <stp>STREAM:AppOut</stp>
        <stp>FIELD:UpdateNumber</stp>
        <stp>TUPLENUM:43</stp>
        <tr r="AD45" s="3"/>
      </tp>
      <tp t="e">
        <v>#N/A</v>
        <stp/>
        <stp>STREAM:AppOut</stp>
        <stp>FIELD:UpdateNumber</stp>
        <stp>TUPLENUM:48</stp>
        <tr r="AD50" s="3"/>
      </tp>
      <tp t="e">
        <v>#N/A</v>
        <stp/>
        <stp>STREAM:AppOut</stp>
        <stp>FIELD:UpdateNumber</stp>
        <stp>TUPLENUM:49</stp>
        <tr r="AD51" s="3"/>
      </tp>
      <tp t="e">
        <v>#N/A</v>
        <stp/>
        <stp>STREAM:AppOut</stp>
        <stp>FIELD:UpdateNumber</stp>
        <stp>TUPLENUM:34</stp>
        <tr r="AD36" s="3"/>
      </tp>
      <tp t="e">
        <v>#N/A</v>
        <stp/>
        <stp>STREAM:AppOut</stp>
        <stp>FIELD:UpdateNumber</stp>
        <stp>TUPLENUM:35</stp>
        <tr r="AD37" s="3"/>
      </tp>
      <tp t="e">
        <v>#N/A</v>
        <stp/>
        <stp>STREAM:AppOut</stp>
        <stp>FIELD:UpdateNumber</stp>
        <stp>TUPLENUM:36</stp>
        <tr r="AD38" s="3"/>
      </tp>
      <tp t="e">
        <v>#N/A</v>
        <stp/>
        <stp>STREAM:AppOut</stp>
        <stp>FIELD:UpdateNumber</stp>
        <stp>TUPLENUM:37</stp>
        <tr r="AD39" s="3"/>
      </tp>
      <tp t="e">
        <v>#N/A</v>
        <stp/>
        <stp>STREAM:AppOut</stp>
        <stp>FIELD:UpdateNumber</stp>
        <stp>TUPLENUM:30</stp>
        <tr r="AD32" s="3"/>
      </tp>
      <tp t="e">
        <v>#N/A</v>
        <stp/>
        <stp>STREAM:AppOut</stp>
        <stp>FIELD:UpdateNumber</stp>
        <stp>TUPLENUM:31</stp>
        <tr r="AD33" s="3"/>
      </tp>
      <tp t="e">
        <v>#N/A</v>
        <stp/>
        <stp>STREAM:AppOut</stp>
        <stp>FIELD:UpdateNumber</stp>
        <stp>TUPLENUM:32</stp>
        <tr r="AD34" s="3"/>
      </tp>
      <tp t="e">
        <v>#N/A</v>
        <stp/>
        <stp>STREAM:AppOut</stp>
        <stp>FIELD:UpdateNumber</stp>
        <stp>TUPLENUM:33</stp>
        <tr r="AD35" s="3"/>
      </tp>
      <tp t="e">
        <v>#N/A</v>
        <stp/>
        <stp>STREAM:AppOut</stp>
        <stp>FIELD:UpdateNumber</stp>
        <stp>TUPLENUM:38</stp>
        <tr r="AD40" s="3"/>
      </tp>
      <tp t="e">
        <v>#N/A</v>
        <stp/>
        <stp>STREAM:AppOut</stp>
        <stp>FIELD:UpdateNumber</stp>
        <stp>TUPLENUM:39</stp>
        <tr r="AD41" s="3"/>
      </tp>
      <tp t="e">
        <v>#N/A</v>
        <stp/>
        <stp>STREAM:AppOut</stp>
        <stp>FIELD:UpdateNumber</stp>
        <stp>TUPLENUM:24</stp>
        <tr r="AD26" s="3"/>
      </tp>
      <tp t="e">
        <v>#N/A</v>
        <stp/>
        <stp>STREAM:AppOut</stp>
        <stp>FIELD:UpdateNumber</stp>
        <stp>TUPLENUM:25</stp>
        <tr r="AD27" s="3"/>
      </tp>
      <tp t="e">
        <v>#N/A</v>
        <stp/>
        <stp>STREAM:AppOut</stp>
        <stp>FIELD:UpdateNumber</stp>
        <stp>TUPLENUM:26</stp>
        <tr r="AD28" s="3"/>
      </tp>
      <tp t="e">
        <v>#N/A</v>
        <stp/>
        <stp>STREAM:AppOut</stp>
        <stp>FIELD:UpdateNumber</stp>
        <stp>TUPLENUM:27</stp>
        <tr r="AD29" s="3"/>
      </tp>
      <tp t="e">
        <v>#N/A</v>
        <stp/>
        <stp>STREAM:AppOut</stp>
        <stp>FIELD:UpdateNumber</stp>
        <stp>TUPLENUM:20</stp>
        <tr r="AD22" s="3"/>
      </tp>
      <tp t="e">
        <v>#N/A</v>
        <stp/>
        <stp>STREAM:AppOut</stp>
        <stp>FIELD:UpdateNumber</stp>
        <stp>TUPLENUM:21</stp>
        <tr r="AD23" s="3"/>
      </tp>
      <tp t="e">
        <v>#N/A</v>
        <stp/>
        <stp>STREAM:AppOut</stp>
        <stp>FIELD:UpdateNumber</stp>
        <stp>TUPLENUM:22</stp>
        <tr r="AD24" s="3"/>
      </tp>
      <tp t="e">
        <v>#N/A</v>
        <stp/>
        <stp>STREAM:AppOut</stp>
        <stp>FIELD:UpdateNumber</stp>
        <stp>TUPLENUM:23</stp>
        <tr r="AD25" s="3"/>
      </tp>
      <tp t="e">
        <v>#N/A</v>
        <stp/>
        <stp>STREAM:AppOut</stp>
        <stp>FIELD:UpdateNumber</stp>
        <stp>TUPLENUM:28</stp>
        <tr r="AD30" s="3"/>
      </tp>
      <tp t="e">
        <v>#N/A</v>
        <stp/>
        <stp>STREAM:AppOut</stp>
        <stp>FIELD:UpdateNumber</stp>
        <stp>TUPLENUM:29</stp>
        <tr r="AD31" s="3"/>
      </tp>
      <tp t="e">
        <v>#N/A</v>
        <stp/>
        <stp>STREAM:AppOut</stp>
        <stp>FIELD:UpdateNumber</stp>
        <stp>TUPLENUM:14</stp>
        <tr r="AD16" s="3"/>
      </tp>
      <tp t="e">
        <v>#N/A</v>
        <stp/>
        <stp>STREAM:AppOut</stp>
        <stp>FIELD:UpdateNumber</stp>
        <stp>TUPLENUM:15</stp>
        <tr r="AD17" s="3"/>
      </tp>
      <tp t="e">
        <v>#N/A</v>
        <stp/>
        <stp>STREAM:AppOut</stp>
        <stp>FIELD:UpdateNumber</stp>
        <stp>TUPLENUM:16</stp>
        <tr r="AD18" s="3"/>
      </tp>
      <tp t="e">
        <v>#N/A</v>
        <stp/>
        <stp>STREAM:AppOut</stp>
        <stp>FIELD:UpdateNumber</stp>
        <stp>TUPLENUM:17</stp>
        <tr r="AD19" s="3"/>
      </tp>
      <tp t="e">
        <v>#N/A</v>
        <stp/>
        <stp>STREAM:AppOut</stp>
        <stp>FIELD:UpdateNumber</stp>
        <stp>TUPLENUM:10</stp>
        <tr r="AD12" s="3"/>
      </tp>
      <tp t="e">
        <v>#N/A</v>
        <stp/>
        <stp>STREAM:AppOut</stp>
        <stp>FIELD:UpdateNumber</stp>
        <stp>TUPLENUM:11</stp>
        <tr r="AD13" s="3"/>
      </tp>
      <tp t="e">
        <v>#N/A</v>
        <stp/>
        <stp>STREAM:AppOut</stp>
        <stp>FIELD:UpdateNumber</stp>
        <stp>TUPLENUM:12</stp>
        <tr r="AD14" s="3"/>
      </tp>
      <tp t="e">
        <v>#N/A</v>
        <stp/>
        <stp>STREAM:AppOut</stp>
        <stp>FIELD:UpdateNumber</stp>
        <stp>TUPLENUM:13</stp>
        <tr r="AD15" s="3"/>
      </tp>
      <tp t="e">
        <v>#N/A</v>
        <stp/>
        <stp>STREAM:AppOut</stp>
        <stp>FIELD:UpdateNumber</stp>
        <stp>TUPLENUM:18</stp>
        <tr r="AD20" s="3"/>
      </tp>
      <tp t="e">
        <v>#N/A</v>
        <stp/>
        <stp>STREAM:AppOut</stp>
        <stp>FIELD:UpdateNumber</stp>
        <stp>TUPLENUM:19</stp>
        <tr r="AD21" s="3"/>
      </tp>
      <tp t="e">
        <v>#N/A</v>
        <stp/>
        <stp>STREAM:AppOut</stp>
        <stp>FIELD:OrderStatus</stp>
        <stp>TUPLENUM:3</stp>
        <tr r="X5" s="3"/>
      </tp>
      <tp t="e">
        <v>#N/A</v>
        <stp/>
        <stp>STREAM:AppOut</stp>
        <stp>FIELD:OrderStatus</stp>
        <stp>TUPLENUM:2</stp>
        <tr r="X4" s="3"/>
      </tp>
      <tp t="e">
        <v>#N/A</v>
        <stp/>
        <stp>STREAM:AppOut</stp>
        <stp>FIELD:OrderStatus</stp>
        <stp>TUPLENUM:1</stp>
        <tr r="X3" s="3"/>
      </tp>
      <tp t="e">
        <v>#N/A</v>
        <stp/>
        <stp>STREAM:AppOut</stp>
        <stp>FIELD:OrderStatus</stp>
        <stp>TUPLENUM:7</stp>
        <tr r="X9" s="3"/>
      </tp>
      <tp t="e">
        <v>#N/A</v>
        <stp/>
        <stp>STREAM:AppOut</stp>
        <stp>FIELD:OrderStatus</stp>
        <stp>TUPLENUM:6</stp>
        <tr r="X8" s="3"/>
      </tp>
      <tp t="e">
        <v>#N/A</v>
        <stp/>
        <stp>STREAM:AppOut</stp>
        <stp>FIELD:OrderStatus</stp>
        <stp>TUPLENUM:5</stp>
        <tr r="X7" s="3"/>
      </tp>
      <tp t="e">
        <v>#N/A</v>
        <stp/>
        <stp>STREAM:AppOut</stp>
        <stp>FIELD:OrderStatus</stp>
        <stp>TUPLENUM:4</stp>
        <tr r="X6" s="3"/>
      </tp>
      <tp t="e">
        <v>#N/A</v>
        <stp/>
        <stp>STREAM:AppOut</stp>
        <stp>FIELD:OrderStatus</stp>
        <stp>TUPLENUM:9</stp>
        <tr r="X11" s="3"/>
      </tp>
      <tp t="e">
        <v>#N/A</v>
        <stp/>
        <stp>STREAM:AppOut</stp>
        <stp>FIELD:OrderStatus</stp>
        <stp>TUPLENUM:8</stp>
        <tr r="X10" s="3"/>
      </tp>
      <tp t="e">
        <v>#N/A</v>
        <stp/>
        <stp>STREAM:AppOut</stp>
        <stp>FIELD:CumQty</stp>
        <stp>TUPLENUM:8</stp>
        <tr r="AB10" s="3"/>
      </tp>
      <tp t="e">
        <v>#N/A</v>
        <stp/>
        <stp>STREAM:AppOut</stp>
        <stp>FIELD:CumQty</stp>
        <stp>TUPLENUM:9</stp>
        <tr r="AB11" s="3"/>
      </tp>
      <tp t="e">
        <v>#N/A</v>
        <stp/>
        <stp>STREAM:AppOut</stp>
        <stp>FIELD:CumQty</stp>
        <stp>TUPLENUM:2</stp>
        <tr r="AB4" s="3"/>
      </tp>
      <tp t="e">
        <v>#N/A</v>
        <stp/>
        <stp>STREAM:AppOut</stp>
        <stp>FIELD:CumQty</stp>
        <stp>TUPLENUM:3</stp>
        <tr r="AB5" s="3"/>
      </tp>
      <tp t="e">
        <v>#N/A</v>
        <stp/>
        <stp>STREAM:AppOut</stp>
        <stp>FIELD:CumQty</stp>
        <stp>TUPLENUM:1</stp>
        <tr r="AB3" s="3"/>
      </tp>
      <tp t="e">
        <v>#N/A</v>
        <stp/>
        <stp>STREAM:AppOut</stp>
        <stp>FIELD:CumQty</stp>
        <stp>TUPLENUM:6</stp>
        <tr r="AB8" s="3"/>
      </tp>
      <tp t="e">
        <v>#N/A</v>
        <stp/>
        <stp>STREAM:AppOut</stp>
        <stp>FIELD:CumQty</stp>
        <stp>TUPLENUM:7</stp>
        <tr r="AB9" s="3"/>
      </tp>
      <tp t="e">
        <v>#N/A</v>
        <stp/>
        <stp>STREAM:AppOut</stp>
        <stp>FIELD:CumQty</stp>
        <stp>TUPLENUM:4</stp>
        <tr r="AB6" s="3"/>
      </tp>
      <tp t="e">
        <v>#N/A</v>
        <stp/>
        <stp>STREAM:AppOut</stp>
        <stp>FIELD:CumQty</stp>
        <stp>TUPLENUM:5</stp>
        <tr r="AB7" s="3"/>
      </tp>
      <tp t="e">
        <v>#N/A</v>
        <stp/>
        <stp>STREAM:AppOut</stp>
        <stp>FIELD:Symbol</stp>
        <stp>TUPLENUM:1</stp>
        <tr r="W3" s="3"/>
      </tp>
      <tp t="e">
        <v>#N/A</v>
        <stp/>
        <stp>STREAM:AppOut</stp>
        <stp>FIELD:Symbol</stp>
        <stp>TUPLENUM:3</stp>
        <tr r="W5" s="3"/>
      </tp>
      <tp t="e">
        <v>#N/A</v>
        <stp/>
        <stp>STREAM:AppOut</stp>
        <stp>FIELD:Symbol</stp>
        <stp>TUPLENUM:2</stp>
        <tr r="W4" s="3"/>
      </tp>
      <tp t="e">
        <v>#N/A</v>
        <stp/>
        <stp>STREAM:AppOut</stp>
        <stp>FIELD:Symbol</stp>
        <stp>TUPLENUM:5</stp>
        <tr r="W7" s="3"/>
      </tp>
      <tp t="e">
        <v>#N/A</v>
        <stp/>
        <stp>STREAM:AppOut</stp>
        <stp>FIELD:Symbol</stp>
        <stp>TUPLENUM:4</stp>
        <tr r="W6" s="3"/>
      </tp>
      <tp t="e">
        <v>#N/A</v>
        <stp/>
        <stp>STREAM:AppOut</stp>
        <stp>FIELD:Symbol</stp>
        <stp>TUPLENUM:7</stp>
        <tr r="W9" s="3"/>
      </tp>
      <tp t="e">
        <v>#N/A</v>
        <stp/>
        <stp>STREAM:AppOut</stp>
        <stp>FIELD:Symbol</stp>
        <stp>TUPLENUM:6</stp>
        <tr r="W8" s="3"/>
      </tp>
      <tp t="e">
        <v>#N/A</v>
        <stp/>
        <stp>STREAM:AppOut</stp>
        <stp>FIELD:Symbol</stp>
        <stp>TUPLENUM:9</stp>
        <tr r="W11" s="3"/>
      </tp>
      <tp t="e">
        <v>#N/A</v>
        <stp/>
        <stp>STREAM:AppOut</stp>
        <stp>FIELD:Symbol</stp>
        <stp>TUPLENUM:8</stp>
        <tr r="W10" s="3"/>
      </tp>
      <tp t="e">
        <v>#N/A</v>
        <stp/>
        <stp>STREAM:AppOut</stp>
        <stp>FIELD:AppOrdID</stp>
        <stp>TUPLENUM:9</stp>
        <tr r="U11" s="3"/>
      </tp>
      <tp t="e">
        <v>#N/A</v>
        <stp/>
        <stp>STREAM:AppOut</stp>
        <stp>FIELD:AppOrdID</stp>
        <stp>TUPLENUM:8</stp>
        <tr r="U10" s="3"/>
      </tp>
      <tp t="e">
        <v>#N/A</v>
        <stp/>
        <stp>STREAM:AppOut</stp>
        <stp>FIELD:AppOrdID</stp>
        <stp>TUPLENUM:1</stp>
        <tr r="U3" s="3"/>
      </tp>
      <tp t="e">
        <v>#N/A</v>
        <stp/>
        <stp>STREAM:AppOut</stp>
        <stp>FIELD:AppOrdID</stp>
        <stp>TUPLENUM:3</stp>
        <tr r="U5" s="3"/>
      </tp>
      <tp t="e">
        <v>#N/A</v>
        <stp/>
        <stp>STREAM:AppOut</stp>
        <stp>FIELD:AppOrdID</stp>
        <stp>TUPLENUM:2</stp>
        <tr r="U4" s="3"/>
      </tp>
      <tp t="e">
        <v>#N/A</v>
        <stp/>
        <stp>STREAM:AppOut</stp>
        <stp>FIELD:AppOrdID</stp>
        <stp>TUPLENUM:5</stp>
        <tr r="U7" s="3"/>
      </tp>
      <tp t="e">
        <v>#N/A</v>
        <stp/>
        <stp>STREAM:AppOut</stp>
        <stp>FIELD:AppOrdID</stp>
        <stp>TUPLENUM:4</stp>
        <tr r="U6" s="3"/>
      </tp>
      <tp t="e">
        <v>#N/A</v>
        <stp/>
        <stp>STREAM:AppOut</stp>
        <stp>FIELD:AppOrdID</stp>
        <stp>TUPLENUM:7</stp>
        <tr r="U9" s="3"/>
      </tp>
      <tp t="e">
        <v>#N/A</v>
        <stp/>
        <stp>STREAM:AppOut</stp>
        <stp>FIELD:AppOrdID</stp>
        <stp>TUPLENUM:6</stp>
        <tr r="U8" s="3"/>
      </tp>
      <tp t="e">
        <v>#N/A</v>
        <stp/>
        <stp>STREAM:AppOut</stp>
        <stp>FIELD:UpdateNumber</stp>
        <stp>TUPLENUM:140</stp>
        <tr r="AD142" s="3"/>
      </tp>
      <tp t="e">
        <v>#N/A</v>
        <stp/>
        <stp>STREAM:AppOut</stp>
        <stp>FIELD:UpdateNumber</stp>
        <stp>TUPLENUM:107</stp>
        <tr r="AD109" s="3"/>
      </tp>
      <tp t="e">
        <v>#N/A</v>
        <stp/>
        <stp>STREAM:AppOut</stp>
        <stp>FIELD:UpdateNumber</stp>
        <stp>TUPLENUM:106</stp>
        <tr r="AD108" s="3"/>
      </tp>
      <tp t="e">
        <v>#N/A</v>
        <stp/>
        <stp>STREAM:AppOut</stp>
        <stp>FIELD:UpdateNumber</stp>
        <stp>TUPLENUM:105</stp>
        <tr r="AD107" s="3"/>
      </tp>
      <tp t="e">
        <v>#N/A</v>
        <stp/>
        <stp>STREAM:AppOut</stp>
        <stp>FIELD:UpdateNumber</stp>
        <stp>TUPLENUM:104</stp>
        <tr r="AD106" s="3"/>
      </tp>
      <tp t="e">
        <v>#N/A</v>
        <stp/>
        <stp>STREAM:AppOut</stp>
        <stp>FIELD:UpdateNumber</stp>
        <stp>TUPLENUM:103</stp>
        <tr r="AD105" s="3"/>
      </tp>
      <tp t="e">
        <v>#N/A</v>
        <stp/>
        <stp>STREAM:AppOut</stp>
        <stp>FIELD:UpdateNumber</stp>
        <stp>TUPLENUM:102</stp>
        <tr r="AD104" s="3"/>
      </tp>
      <tp t="e">
        <v>#N/A</v>
        <stp/>
        <stp>STREAM:AppOut</stp>
        <stp>FIELD:UpdateNumber</stp>
        <stp>TUPLENUM:101</stp>
        <tr r="AD103" s="3"/>
      </tp>
      <tp t="e">
        <v>#N/A</v>
        <stp/>
        <stp>STREAM:AppOut</stp>
        <stp>FIELD:UpdateNumber</stp>
        <stp>TUPLENUM:100</stp>
        <tr r="AD102" s="3"/>
      </tp>
      <tp t="e">
        <v>#N/A</v>
        <stp/>
        <stp>STREAM:AppOut</stp>
        <stp>FIELD:UpdateNumber</stp>
        <stp>TUPLENUM:109</stp>
        <tr r="AD111" s="3"/>
      </tp>
      <tp t="e">
        <v>#N/A</v>
        <stp/>
        <stp>STREAM:AppOut</stp>
        <stp>FIELD:UpdateNumber</stp>
        <stp>TUPLENUM:108</stp>
        <tr r="AD110" s="3"/>
      </tp>
      <tp t="e">
        <v>#N/A</v>
        <stp/>
        <stp>STREAM:AppOut</stp>
        <stp>FIELD:UpdateNumber</stp>
        <stp>TUPLENUM:117</stp>
        <tr r="AD119" s="3"/>
      </tp>
      <tp t="e">
        <v>#N/A</v>
        <stp/>
        <stp>STREAM:AppOut</stp>
        <stp>FIELD:UpdateNumber</stp>
        <stp>TUPLENUM:116</stp>
        <tr r="AD118" s="3"/>
      </tp>
      <tp t="e">
        <v>#N/A</v>
        <stp/>
        <stp>STREAM:AppOut</stp>
        <stp>FIELD:UpdateNumber</stp>
        <stp>TUPLENUM:115</stp>
        <tr r="AD117" s="3"/>
      </tp>
      <tp t="e">
        <v>#N/A</v>
        <stp/>
        <stp>STREAM:AppOut</stp>
        <stp>FIELD:UpdateNumber</stp>
        <stp>TUPLENUM:114</stp>
        <tr r="AD116" s="3"/>
      </tp>
      <tp t="e">
        <v>#N/A</v>
        <stp/>
        <stp>STREAM:AppOut</stp>
        <stp>FIELD:UpdateNumber</stp>
        <stp>TUPLENUM:113</stp>
        <tr r="AD115" s="3"/>
      </tp>
      <tp t="e">
        <v>#N/A</v>
        <stp/>
        <stp>STREAM:AppOut</stp>
        <stp>FIELD:UpdateNumber</stp>
        <stp>TUPLENUM:112</stp>
        <tr r="AD114" s="3"/>
      </tp>
      <tp t="e">
        <v>#N/A</v>
        <stp/>
        <stp>STREAM:AppOut</stp>
        <stp>FIELD:UpdateNumber</stp>
        <stp>TUPLENUM:111</stp>
        <tr r="AD113" s="3"/>
      </tp>
      <tp t="e">
        <v>#N/A</v>
        <stp/>
        <stp>STREAM:AppOut</stp>
        <stp>FIELD:UpdateNumber</stp>
        <stp>TUPLENUM:110</stp>
        <tr r="AD112" s="3"/>
      </tp>
      <tp t="e">
        <v>#N/A</v>
        <stp/>
        <stp>STREAM:AppOut</stp>
        <stp>FIELD:UpdateNumber</stp>
        <stp>TUPLENUM:119</stp>
        <tr r="AD121" s="3"/>
      </tp>
      <tp t="e">
        <v>#N/A</v>
        <stp/>
        <stp>STREAM:AppOut</stp>
        <stp>FIELD:UpdateNumber</stp>
        <stp>TUPLENUM:118</stp>
        <tr r="AD120" s="3"/>
      </tp>
      <tp t="e">
        <v>#N/A</v>
        <stp/>
        <stp>STREAM:AppOut</stp>
        <stp>FIELD:UpdateNumber</stp>
        <stp>TUPLENUM:127</stp>
        <tr r="AD129" s="3"/>
      </tp>
      <tp t="e">
        <v>#N/A</v>
        <stp/>
        <stp>STREAM:AppOut</stp>
        <stp>FIELD:UpdateNumber</stp>
        <stp>TUPLENUM:126</stp>
        <tr r="AD128" s="3"/>
      </tp>
      <tp t="e">
        <v>#N/A</v>
        <stp/>
        <stp>STREAM:AppOut</stp>
        <stp>FIELD:UpdateNumber</stp>
        <stp>TUPLENUM:125</stp>
        <tr r="AD127" s="3"/>
      </tp>
      <tp t="e">
        <v>#N/A</v>
        <stp/>
        <stp>STREAM:AppOut</stp>
        <stp>FIELD:UpdateNumber</stp>
        <stp>TUPLENUM:124</stp>
        <tr r="AD126" s="3"/>
      </tp>
      <tp t="e">
        <v>#N/A</v>
        <stp/>
        <stp>STREAM:AppOut</stp>
        <stp>FIELD:UpdateNumber</stp>
        <stp>TUPLENUM:123</stp>
        <tr r="AD125" s="3"/>
      </tp>
      <tp t="e">
        <v>#N/A</v>
        <stp/>
        <stp>STREAM:AppOut</stp>
        <stp>FIELD:UpdateNumber</stp>
        <stp>TUPLENUM:122</stp>
        <tr r="AD124" s="3"/>
      </tp>
      <tp t="e">
        <v>#N/A</v>
        <stp/>
        <stp>STREAM:AppOut</stp>
        <stp>FIELD:UpdateNumber</stp>
        <stp>TUPLENUM:121</stp>
        <tr r="AD123" s="3"/>
      </tp>
      <tp t="e">
        <v>#N/A</v>
        <stp/>
        <stp>STREAM:AppOut</stp>
        <stp>FIELD:UpdateNumber</stp>
        <stp>TUPLENUM:120</stp>
        <tr r="AD122" s="3"/>
      </tp>
      <tp t="e">
        <v>#N/A</v>
        <stp/>
        <stp>STREAM:AppOut</stp>
        <stp>FIELD:UpdateNumber</stp>
        <stp>TUPLENUM:129</stp>
        <tr r="AD131" s="3"/>
      </tp>
      <tp t="e">
        <v>#N/A</v>
        <stp/>
        <stp>STREAM:AppOut</stp>
        <stp>FIELD:UpdateNumber</stp>
        <stp>TUPLENUM:128</stp>
        <tr r="AD130" s="3"/>
      </tp>
      <tp t="e">
        <v>#N/A</v>
        <stp/>
        <stp>STREAM:AppOut</stp>
        <stp>FIELD:UpdateNumber</stp>
        <stp>TUPLENUM:137</stp>
        <tr r="AD139" s="3"/>
      </tp>
      <tp t="e">
        <v>#N/A</v>
        <stp/>
        <stp>STREAM:AppOut</stp>
        <stp>FIELD:UpdateNumber</stp>
        <stp>TUPLENUM:136</stp>
        <tr r="AD138" s="3"/>
      </tp>
      <tp t="e">
        <v>#N/A</v>
        <stp/>
        <stp>STREAM:AppOut</stp>
        <stp>FIELD:UpdateNumber</stp>
        <stp>TUPLENUM:135</stp>
        <tr r="AD137" s="3"/>
      </tp>
      <tp t="e">
        <v>#N/A</v>
        <stp/>
        <stp>STREAM:AppOut</stp>
        <stp>FIELD:UpdateNumber</stp>
        <stp>TUPLENUM:134</stp>
        <tr r="AD136" s="3"/>
      </tp>
      <tp t="e">
        <v>#N/A</v>
        <stp/>
        <stp>STREAM:AppOut</stp>
        <stp>FIELD:UpdateNumber</stp>
        <stp>TUPLENUM:133</stp>
        <tr r="AD135" s="3"/>
      </tp>
      <tp t="e">
        <v>#N/A</v>
        <stp/>
        <stp>STREAM:AppOut</stp>
        <stp>FIELD:UpdateNumber</stp>
        <stp>TUPLENUM:132</stp>
        <tr r="AD134" s="3"/>
      </tp>
      <tp t="e">
        <v>#N/A</v>
        <stp/>
        <stp>STREAM:AppOut</stp>
        <stp>FIELD:UpdateNumber</stp>
        <stp>TUPLENUM:131</stp>
        <tr r="AD133" s="3"/>
      </tp>
      <tp t="e">
        <v>#N/A</v>
        <stp/>
        <stp>STREAM:AppOut</stp>
        <stp>FIELD:UpdateNumber</stp>
        <stp>TUPLENUM:130</stp>
        <tr r="AD132" s="3"/>
      </tp>
      <tp t="e">
        <v>#N/A</v>
        <stp/>
        <stp>STREAM:AppOut</stp>
        <stp>FIELD:UpdateNumber</stp>
        <stp>TUPLENUM:139</stp>
        <tr r="AD141" s="3"/>
      </tp>
      <tp t="e">
        <v>#N/A</v>
        <stp/>
        <stp>STREAM:AppOut</stp>
        <stp>FIELD:UpdateNumber</stp>
        <stp>TUPLENUM:138</stp>
        <tr r="AD140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238125</xdr:colOff>
      <xdr:row>0</xdr:row>
      <xdr:rowOff>66675</xdr:rowOff>
    </xdr:from>
    <xdr:to>
      <xdr:col>19</xdr:col>
      <xdr:colOff>219075</xdr:colOff>
      <xdr:row>1</xdr:row>
      <xdr:rowOff>95250</xdr:rowOff>
    </xdr:to>
    <xdr:sp macro="[0]!Sheet1.PuxarBooks" textlink="">
      <xdr:nvSpPr>
        <xdr:cNvPr id="2" name="Rectangle 1"/>
        <xdr:cNvSpPr/>
      </xdr:nvSpPr>
      <xdr:spPr>
        <a:xfrm>
          <a:off x="10601325" y="66675"/>
          <a:ext cx="120015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Atualizar Books</a:t>
          </a:r>
        </a:p>
      </xdr:txBody>
    </xdr:sp>
    <xdr:clientData/>
  </xdr:twoCellAnchor>
  <xdr:twoCellAnchor>
    <xdr:from>
      <xdr:col>19</xdr:col>
      <xdr:colOff>561975</xdr:colOff>
      <xdr:row>0</xdr:row>
      <xdr:rowOff>47625</xdr:rowOff>
    </xdr:from>
    <xdr:to>
      <xdr:col>22</xdr:col>
      <xdr:colOff>304800</xdr:colOff>
      <xdr:row>1</xdr:row>
      <xdr:rowOff>133350</xdr:rowOff>
    </xdr:to>
    <xdr:sp macro="[0]!Sheet1.PuxarSections" textlink="">
      <xdr:nvSpPr>
        <xdr:cNvPr id="3" name="Rectangle 2"/>
        <xdr:cNvSpPr/>
      </xdr:nvSpPr>
      <xdr:spPr>
        <a:xfrm>
          <a:off x="12144375" y="47625"/>
          <a:ext cx="157162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Atualizar Sections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16"/>
  <sheetViews>
    <sheetView workbookViewId="0">
      <selection activeCell="B17" sqref="B17"/>
    </sheetView>
  </sheetViews>
  <sheetFormatPr defaultRowHeight="12.75"/>
  <cols>
    <col min="1" max="1" width="13.7109375" customWidth="1"/>
    <col min="2" max="2" width="22.7109375" customWidth="1"/>
    <col min="3" max="3" width="14.85546875" customWidth="1"/>
    <col min="4" max="4" width="14.42578125" bestFit="1" customWidth="1"/>
    <col min="5" max="5" width="15" bestFit="1" customWidth="1"/>
  </cols>
  <sheetData>
    <row r="1" spans="1:5">
      <c r="A1" t="s">
        <v>11</v>
      </c>
    </row>
    <row r="2" spans="1:5">
      <c r="A2" t="s">
        <v>3</v>
      </c>
      <c r="B2" t="s">
        <v>8</v>
      </c>
    </row>
    <row r="3" spans="1:5">
      <c r="A3" t="s">
        <v>4</v>
      </c>
      <c r="B3" t="s">
        <v>306</v>
      </c>
    </row>
    <row r="4" spans="1:5">
      <c r="A4" t="s">
        <v>5</v>
      </c>
      <c r="B4" t="s">
        <v>307</v>
      </c>
    </row>
    <row r="5" spans="1:5">
      <c r="A5" t="s">
        <v>6</v>
      </c>
      <c r="B5" t="s">
        <v>308</v>
      </c>
    </row>
    <row r="6" spans="1:5">
      <c r="A6" t="s">
        <v>7</v>
      </c>
      <c r="B6">
        <v>100</v>
      </c>
    </row>
    <row r="7" spans="1:5">
      <c r="A7" t="s">
        <v>10</v>
      </c>
      <c r="B7">
        <v>1000</v>
      </c>
    </row>
    <row r="11" spans="1:5">
      <c r="A11" t="s">
        <v>2</v>
      </c>
      <c r="B11" s="9"/>
      <c r="C11" s="9"/>
    </row>
    <row r="12" spans="1:5">
      <c r="A12" s="3" t="s">
        <v>15</v>
      </c>
      <c r="B12" s="10" t="s">
        <v>3</v>
      </c>
      <c r="C12" s="10" t="s">
        <v>23</v>
      </c>
      <c r="D12" t="s">
        <v>24</v>
      </c>
      <c r="E12" t="s">
        <v>26</v>
      </c>
    </row>
    <row r="13" spans="1:5">
      <c r="A13" s="3" t="s">
        <v>16</v>
      </c>
      <c r="B13" s="10" t="s">
        <v>4</v>
      </c>
      <c r="C13" s="10" t="s">
        <v>17</v>
      </c>
      <c r="D13" s="1" t="s">
        <v>25</v>
      </c>
      <c r="E13" s="1" t="s">
        <v>27</v>
      </c>
    </row>
    <row r="16" spans="1:5">
      <c r="A16" t="s">
        <v>9</v>
      </c>
      <c r="B16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I143"/>
  <sheetViews>
    <sheetView tabSelected="1" zoomScale="85" zoomScaleNormal="85" workbookViewId="0">
      <selection activeCell="K17" sqref="K17"/>
    </sheetView>
  </sheetViews>
  <sheetFormatPr defaultRowHeight="12.75"/>
  <cols>
    <col min="1" max="1" width="19.140625" customWidth="1"/>
    <col min="2" max="2" width="15.42578125" style="16" bestFit="1" customWidth="1"/>
    <col min="3" max="3" width="12" style="5" customWidth="1"/>
    <col min="4" max="4" width="10.7109375" style="5" customWidth="1"/>
    <col min="5" max="5" width="8.7109375" bestFit="1" customWidth="1"/>
    <col min="6" max="6" width="9.42578125" bestFit="1" customWidth="1"/>
    <col min="7" max="7" width="11.28515625" bestFit="1" customWidth="1"/>
    <col min="8" max="9" width="9.140625" style="5"/>
    <col min="10" max="10" width="9.140625" style="8"/>
    <col min="11" max="12" width="9.140625" style="5"/>
    <col min="13" max="15" width="10.7109375" style="5" customWidth="1"/>
    <col min="16" max="16" width="13.140625" bestFit="1" customWidth="1"/>
    <col min="21" max="21" width="15.42578125" bestFit="1" customWidth="1"/>
    <col min="22" max="22" width="11.42578125" bestFit="1" customWidth="1"/>
    <col min="23" max="23" width="7.28515625" bestFit="1" customWidth="1"/>
    <col min="24" max="24" width="17.7109375" customWidth="1"/>
    <col min="25" max="25" width="7.42578125" bestFit="1" customWidth="1"/>
    <col min="26" max="26" width="5.28515625" bestFit="1" customWidth="1"/>
    <col min="27" max="27" width="8.5703125" bestFit="1" customWidth="1"/>
    <col min="28" max="28" width="7.85546875" bestFit="1" customWidth="1"/>
    <col min="29" max="29" width="6.28515625" bestFit="1" customWidth="1"/>
    <col min="30" max="30" width="13.42578125" bestFit="1" customWidth="1"/>
    <col min="31" max="31" width="12.42578125" customWidth="1"/>
    <col min="32" max="32" width="15.85546875" bestFit="1" customWidth="1"/>
    <col min="33" max="33" width="9.7109375" bestFit="1" customWidth="1"/>
    <col min="34" max="34" width="7.85546875" bestFit="1" customWidth="1"/>
    <col min="35" max="35" width="9.42578125" bestFit="1" customWidth="1"/>
  </cols>
  <sheetData>
    <row r="1" spans="1:35">
      <c r="A1" s="2" t="s">
        <v>14</v>
      </c>
      <c r="B1" s="14" t="s">
        <v>12</v>
      </c>
      <c r="C1" s="4" t="s">
        <v>314</v>
      </c>
      <c r="D1" s="4" t="s">
        <v>315</v>
      </c>
      <c r="E1" s="2" t="s">
        <v>28</v>
      </c>
      <c r="F1" s="2" t="s">
        <v>316</v>
      </c>
      <c r="G1" s="2" t="s">
        <v>317</v>
      </c>
      <c r="H1" s="4" t="s">
        <v>0</v>
      </c>
      <c r="I1" s="4" t="s">
        <v>13</v>
      </c>
      <c r="J1" s="7" t="s">
        <v>318</v>
      </c>
      <c r="K1" s="4" t="s">
        <v>1</v>
      </c>
      <c r="L1" s="4" t="s">
        <v>296</v>
      </c>
      <c r="M1" s="4" t="s">
        <v>319</v>
      </c>
      <c r="N1" s="4" t="s">
        <v>19</v>
      </c>
      <c r="O1" s="4" t="s">
        <v>20</v>
      </c>
      <c r="P1" s="4" t="s">
        <v>297</v>
      </c>
      <c r="Q1" s="4" t="s">
        <v>298</v>
      </c>
      <c r="R1" s="4" t="s">
        <v>299</v>
      </c>
      <c r="U1" s="12" t="s">
        <v>300</v>
      </c>
    </row>
    <row r="2" spans="1:35">
      <c r="A2" t="e">
        <f>IF(B2="","",RTD("streambase.rtd",,"STREAM:AppOut", "FIELD:OrderStatus", "LOCALFILTER:AppOrdID==""" &amp; $B2 &amp; """"))</f>
        <v>#N/A</v>
      </c>
      <c r="B2" s="15" t="str">
        <f>IF(E2="","",VLOOKUP(E2,Params!O:P,2,FALSE)&amp;"_"&amp;VLOOKUP(F2,Params!R:S,2,FALSE)&amp;"_"&amp;VLOOKUP(G2,Params!U:V,2,FALSE)&amp;"_"&amp;"00"&amp;ROW()-1)</f>
        <v>18_11_231_001</v>
      </c>
      <c r="C2" s="6" t="s">
        <v>331</v>
      </c>
      <c r="D2" s="6" t="s">
        <v>332</v>
      </c>
      <c r="E2" s="3" t="s">
        <v>291</v>
      </c>
      <c r="F2" s="3" t="s">
        <v>313</v>
      </c>
      <c r="G2" s="3" t="s">
        <v>265</v>
      </c>
      <c r="H2" s="6" t="s">
        <v>340</v>
      </c>
      <c r="I2" s="6" t="s">
        <v>334</v>
      </c>
      <c r="J2" s="8">
        <v>4900</v>
      </c>
      <c r="K2" s="5">
        <v>0</v>
      </c>
      <c r="L2" s="6">
        <v>8007686</v>
      </c>
      <c r="M2" s="6" t="s">
        <v>333</v>
      </c>
      <c r="N2" t="e">
        <f>IF(B2="","",RTD("streambase.rtd",,"STREAM:AppOut", "FIELD:CumQty", "LOCALFILTER:AppOrdID==""" &amp; $B2 &amp; """"))</f>
        <v>#N/A</v>
      </c>
      <c r="O2" t="e">
        <f>IF(B2="","",RTD("streambase.rtd",,"STREAM:AppOut", "FIELD:AvgPx", "LOCALFILTER:AppOrdID==""" &amp; $B2 &amp; """"))</f>
        <v>#N/A</v>
      </c>
      <c r="U2" t="s">
        <v>301</v>
      </c>
      <c r="V2" t="s">
        <v>302</v>
      </c>
      <c r="W2" t="s">
        <v>0</v>
      </c>
      <c r="X2" t="s">
        <v>14</v>
      </c>
      <c r="Y2" t="s">
        <v>13</v>
      </c>
      <c r="Z2" t="s">
        <v>1</v>
      </c>
      <c r="AA2" t="s">
        <v>18</v>
      </c>
      <c r="AB2" t="s">
        <v>19</v>
      </c>
      <c r="AC2" t="s">
        <v>20</v>
      </c>
      <c r="AD2" t="s">
        <v>21</v>
      </c>
      <c r="AE2" t="s">
        <v>22</v>
      </c>
      <c r="AF2" t="s">
        <v>303</v>
      </c>
      <c r="AG2" t="s">
        <v>304</v>
      </c>
      <c r="AH2" t="s">
        <v>296</v>
      </c>
      <c r="AI2" t="s">
        <v>305</v>
      </c>
    </row>
    <row r="3" spans="1:35">
      <c r="A3" t="e">
        <f>IF(B3="","",RTD("streambase.rtd",,"STREAM:AppOut", "FIELD:OrderStatus", "LOCALFILTER:AppOrdID==""" &amp; $B3 &amp; """"))</f>
        <v>#N/A</v>
      </c>
      <c r="B3" s="15" t="str">
        <f>IF(E3="","",VLOOKUP(E3,Params!O:P,2,FALSE)&amp;"_"&amp;VLOOKUP(F3,Params!R:S,2,FALSE)&amp;"_"&amp;VLOOKUP(G3,Params!U:V,2,FALSE)&amp;"_"&amp;"00"&amp;ROW()-1)</f>
        <v>18_11_231_002</v>
      </c>
      <c r="C3" s="6" t="s">
        <v>331</v>
      </c>
      <c r="D3" s="6" t="s">
        <v>332</v>
      </c>
      <c r="E3" s="3" t="s">
        <v>291</v>
      </c>
      <c r="F3" s="3" t="s">
        <v>313</v>
      </c>
      <c r="G3" s="3" t="s">
        <v>265</v>
      </c>
      <c r="H3" s="6" t="s">
        <v>341</v>
      </c>
      <c r="I3" s="6" t="s">
        <v>335</v>
      </c>
      <c r="J3" s="8">
        <v>9700</v>
      </c>
      <c r="K3" s="5">
        <v>0</v>
      </c>
      <c r="L3" s="6">
        <v>8007686</v>
      </c>
      <c r="M3" s="6" t="s">
        <v>333</v>
      </c>
      <c r="N3" t="e">
        <f>IF(B3="","",RTD("streambase.rtd",,"STREAM:AppOut", "FIELD:CumQty", "LOCALFILTER:AppOrdID==""" &amp; $B3 &amp; """"))</f>
        <v>#N/A</v>
      </c>
      <c r="O3" t="e">
        <f>IF(B3="","",RTD("streambase.rtd",,"STREAM:AppOut", "FIELD:AvgPx", "LOCALFILTER:AppOrdID==""" &amp; $B3 &amp; """"))</f>
        <v>#N/A</v>
      </c>
      <c r="U3" t="e">
        <f>RTD("streambase.rtd",,"STREAM:AppOut", "FIELD:AppOrdID", CONCATENATE("TUPLENUM:", ROW()-2))</f>
        <v>#N/A</v>
      </c>
      <c r="V3" t="e">
        <f>RTD("streambase.rtd",,"STREAM:AppOut", "FIELD:AppCxlRplID", CONCATENATE("TUPLENUM:", ROW()-2))</f>
        <v>#N/A</v>
      </c>
      <c r="W3" t="e">
        <f>RTD("streambase.rtd",,"STREAM:AppOut", "FIELD:Symbol", CONCATENATE("TUPLENUM:", ROW()-2))</f>
        <v>#N/A</v>
      </c>
      <c r="X3" t="e">
        <f>RTD("streambase.rtd",,"STREAM:AppOut", "FIELD:OrderStatus", CONCATENATE("TUPLENUM:", ROW()-2))</f>
        <v>#N/A</v>
      </c>
      <c r="Y3" t="e">
        <f>RTD("streambase.rtd",,"STREAM:AppOut", "FIELD:BuySell", CONCATENATE("TUPLENUM:", ROW()-2))</f>
        <v>#N/A</v>
      </c>
      <c r="Z3" t="e">
        <f>RTD("streambase.rtd",,"STREAM:AppOut", "FIELD:Price", CONCATENATE("TUPLENUM:", ROW()-2))</f>
        <v>#N/A</v>
      </c>
      <c r="AA3" t="e">
        <f>RTD("streambase.rtd",,"STREAM:AppOut", "FIELD:OrderQty", CONCATENATE("TUPLENUM:", ROW()-2))</f>
        <v>#N/A</v>
      </c>
      <c r="AB3" t="e">
        <f>RTD("streambase.rtd",,"STREAM:AppOut", "FIELD:CumQty", CONCATENATE("TUPLENUM:", ROW()-2))</f>
        <v>#N/A</v>
      </c>
      <c r="AC3" t="e">
        <f>RTD("streambase.rtd",,"STREAM:AppOut", "FIELD:AvgPx", CONCATENATE("TUPLENUM:", ROW()-2))</f>
        <v>#N/A</v>
      </c>
      <c r="AD3" t="e">
        <f>RTD("streambase.rtd",,"STREAM:AppOut", "FIELD:UpdateNumber", CONCATENATE("TUPLENUM:", ROW()-2))</f>
        <v>#N/A</v>
      </c>
      <c r="AE3" s="11" t="e">
        <f>RTD("streambase.rtd",,"STREAM:AppOut", "FIELD:UpdateTime", CONCATENATE("TUPLENUM:", ROW()-2))</f>
        <v>#N/A</v>
      </c>
      <c r="AF3" t="e">
        <f>RTD("streambase.rtd",,"STREAM:AppOut", "FIELD:ReplacedbyReqID", CONCATENATE("TUPLENUM:", ROW()-2))</f>
        <v>#N/A</v>
      </c>
      <c r="AG3" t="e">
        <f>RTD("streambase.rtd",,"STREAM:AppOut", "FIELD:LeavesQty", CONCATENATE("TUPLENUM:", ROW()-2))</f>
        <v>#N/A</v>
      </c>
      <c r="AH3" t="e">
        <f>RTD("streambase.rtd",,"STREAM:AppOut", "FIELD:Account", CONCATENATE("TUPLENUM:", ROW()-2))</f>
        <v>#N/A</v>
      </c>
      <c r="AI3" t="e">
        <f>RTD("streambase.rtd",,"STREAM:AppOut", "FIELD:TradeDate", CONCATENATE("TUPLENUM:", ROW()-2))</f>
        <v>#N/A</v>
      </c>
    </row>
    <row r="4" spans="1:35">
      <c r="A4" t="e">
        <f>IF(B4="","",RTD("streambase.rtd",,"STREAM:AppOut", "FIELD:OrderStatus", "LOCALFILTER:AppOrdID==""" &amp; $B4 &amp; """"))</f>
        <v>#N/A</v>
      </c>
      <c r="B4" s="15" t="str">
        <f>IF(E4="","",VLOOKUP(E4,Params!O:P,2,FALSE)&amp;"_"&amp;VLOOKUP(F4,Params!R:S,2,FALSE)&amp;"_"&amp;VLOOKUP(G4,Params!U:V,2,FALSE)&amp;"_"&amp;"00"&amp;ROW()-1)</f>
        <v>18_11_231_003</v>
      </c>
      <c r="C4" s="6" t="s">
        <v>331</v>
      </c>
      <c r="D4" s="6" t="s">
        <v>332</v>
      </c>
      <c r="E4" s="3" t="s">
        <v>291</v>
      </c>
      <c r="F4" s="3" t="s">
        <v>313</v>
      </c>
      <c r="G4" s="3" t="s">
        <v>265</v>
      </c>
      <c r="H4" s="6" t="s">
        <v>338</v>
      </c>
      <c r="I4" s="6" t="s">
        <v>335</v>
      </c>
      <c r="J4" s="8">
        <v>2000</v>
      </c>
      <c r="K4" s="5">
        <v>0</v>
      </c>
      <c r="L4" s="6">
        <v>8007686</v>
      </c>
      <c r="M4" s="6" t="s">
        <v>333</v>
      </c>
      <c r="N4" t="e">
        <f>IF(B4="","",RTD("streambase.rtd",,"STREAM:AppOut", "FIELD:CumQty", "LOCALFILTER:AppOrdID==""" &amp; $B4 &amp; """"))</f>
        <v>#N/A</v>
      </c>
      <c r="O4" t="e">
        <f>IF(B4="","",RTD("streambase.rtd",,"STREAM:AppOut", "FIELD:AvgPx", "LOCALFILTER:AppOrdID==""" &amp; $B4 &amp; """"))</f>
        <v>#N/A</v>
      </c>
      <c r="U4" t="e">
        <f>RTD("streambase.rtd",,"STREAM:AppOut", "FIELD:AppOrdID", CONCATENATE("TUPLENUM:", ROW()-2))</f>
        <v>#N/A</v>
      </c>
      <c r="V4" t="e">
        <f>RTD("streambase.rtd",,"STREAM:AppOut", "FIELD:AppCxlRplID", CONCATENATE("TUPLENUM:", ROW()-2))</f>
        <v>#N/A</v>
      </c>
      <c r="W4" t="e">
        <f>RTD("streambase.rtd",,"STREAM:AppOut", "FIELD:Symbol", CONCATENATE("TUPLENUM:", ROW()-2))</f>
        <v>#N/A</v>
      </c>
      <c r="X4" t="e">
        <f>RTD("streambase.rtd",,"STREAM:AppOut", "FIELD:OrderStatus", CONCATENATE("TUPLENUM:", ROW()-2))</f>
        <v>#N/A</v>
      </c>
      <c r="Y4" t="e">
        <f>RTD("streambase.rtd",,"STREAM:AppOut", "FIELD:BuySell", CONCATENATE("TUPLENUM:", ROW()-2))</f>
        <v>#N/A</v>
      </c>
      <c r="Z4" t="e">
        <f>RTD("streambase.rtd",,"STREAM:AppOut", "FIELD:Price", CONCATENATE("TUPLENUM:", ROW()-2))</f>
        <v>#N/A</v>
      </c>
      <c r="AA4" t="e">
        <f>RTD("streambase.rtd",,"STREAM:AppOut", "FIELD:OrderQty", CONCATENATE("TUPLENUM:", ROW()-2))</f>
        <v>#N/A</v>
      </c>
      <c r="AB4" t="e">
        <f>RTD("streambase.rtd",,"STREAM:AppOut", "FIELD:CumQty", CONCATENATE("TUPLENUM:", ROW()-2))</f>
        <v>#N/A</v>
      </c>
      <c r="AC4" t="e">
        <f>RTD("streambase.rtd",,"STREAM:AppOut", "FIELD:AvgPx", CONCATENATE("TUPLENUM:", ROW()-2))</f>
        <v>#N/A</v>
      </c>
      <c r="AD4" t="e">
        <f>RTD("streambase.rtd",,"STREAM:AppOut", "FIELD:UpdateNumber", CONCATENATE("TUPLENUM:", ROW()-2))</f>
        <v>#N/A</v>
      </c>
      <c r="AE4" s="11" t="e">
        <f>RTD("streambase.rtd",,"STREAM:AppOut", "FIELD:UpdateTime", CONCATENATE("TUPLENUM:", ROW()-2))</f>
        <v>#N/A</v>
      </c>
      <c r="AF4" t="e">
        <f>RTD("streambase.rtd",,"STREAM:AppOut", "FIELD:ReplacedbyReqID", CONCATENATE("TUPLENUM:", ROW()-2))</f>
        <v>#N/A</v>
      </c>
      <c r="AG4" t="e">
        <f>RTD("streambase.rtd",,"STREAM:AppOut", "FIELD:LeavesQty", CONCATENATE("TUPLENUM:", ROW()-2))</f>
        <v>#N/A</v>
      </c>
      <c r="AH4" t="e">
        <f>RTD("streambase.rtd",,"STREAM:AppOut", "FIELD:Account", CONCATENATE("TUPLENUM:", ROW()-2))</f>
        <v>#N/A</v>
      </c>
      <c r="AI4" t="e">
        <f>RTD("streambase.rtd",,"STREAM:AppOut", "FIELD:TradeDate", CONCATENATE("TUPLENUM:", ROW()-2))</f>
        <v>#N/A</v>
      </c>
    </row>
    <row r="5" spans="1:35">
      <c r="A5" t="e">
        <f>IF(B5="","",RTD("streambase.rtd",,"STREAM:AppOut", "FIELD:OrderStatus", "LOCALFILTER:AppOrdID==""" &amp; $B5 &amp; """"))</f>
        <v>#N/A</v>
      </c>
      <c r="B5" s="15" t="str">
        <f>IF(E5="","",VLOOKUP(E5,Params!O:P,2,FALSE)&amp;"_"&amp;VLOOKUP(F5,Params!R:S,2,FALSE)&amp;"_"&amp;VLOOKUP(G5,Params!U:V,2,FALSE)&amp;"_"&amp;"00"&amp;ROW()-1)</f>
        <v>18_11_231_004</v>
      </c>
      <c r="C5" s="6" t="s">
        <v>331</v>
      </c>
      <c r="D5" s="6" t="s">
        <v>332</v>
      </c>
      <c r="E5" s="3" t="s">
        <v>291</v>
      </c>
      <c r="F5" s="3" t="s">
        <v>313</v>
      </c>
      <c r="G5" s="3" t="s">
        <v>265</v>
      </c>
      <c r="H5" s="6" t="s">
        <v>343</v>
      </c>
      <c r="I5" s="6" t="s">
        <v>335</v>
      </c>
      <c r="J5" s="8">
        <v>9500</v>
      </c>
      <c r="K5" s="5">
        <v>0</v>
      </c>
      <c r="L5" s="6">
        <v>8007686</v>
      </c>
      <c r="M5" s="6" t="s">
        <v>333</v>
      </c>
      <c r="N5" t="e">
        <f>IF(B5="","",RTD("streambase.rtd",,"STREAM:AppOut", "FIELD:CumQty", "LOCALFILTER:AppOrdID==""" &amp; $B5 &amp; """"))</f>
        <v>#N/A</v>
      </c>
      <c r="O5" t="e">
        <f>IF(B5="","",RTD("streambase.rtd",,"STREAM:AppOut", "FIELD:AvgPx", "LOCALFILTER:AppOrdID==""" &amp; $B5 &amp; """"))</f>
        <v>#N/A</v>
      </c>
      <c r="U5" t="e">
        <f>RTD("streambase.rtd",,"STREAM:AppOut", "FIELD:AppOrdID", CONCATENATE("TUPLENUM:", ROW()-2))</f>
        <v>#N/A</v>
      </c>
      <c r="V5" t="e">
        <f>RTD("streambase.rtd",,"STREAM:AppOut", "FIELD:AppCxlRplID", CONCATENATE("TUPLENUM:", ROW()-2))</f>
        <v>#N/A</v>
      </c>
      <c r="W5" t="e">
        <f>RTD("streambase.rtd",,"STREAM:AppOut", "FIELD:Symbol", CONCATENATE("TUPLENUM:", ROW()-2))</f>
        <v>#N/A</v>
      </c>
      <c r="X5" t="e">
        <f>RTD("streambase.rtd",,"STREAM:AppOut", "FIELD:OrderStatus", CONCATENATE("TUPLENUM:", ROW()-2))</f>
        <v>#N/A</v>
      </c>
      <c r="Y5" t="e">
        <f>RTD("streambase.rtd",,"STREAM:AppOut", "FIELD:BuySell", CONCATENATE("TUPLENUM:", ROW()-2))</f>
        <v>#N/A</v>
      </c>
      <c r="Z5" t="e">
        <f>RTD("streambase.rtd",,"STREAM:AppOut", "FIELD:Price", CONCATENATE("TUPLENUM:", ROW()-2))</f>
        <v>#N/A</v>
      </c>
      <c r="AA5" t="e">
        <f>RTD("streambase.rtd",,"STREAM:AppOut", "FIELD:OrderQty", CONCATENATE("TUPLENUM:", ROW()-2))</f>
        <v>#N/A</v>
      </c>
      <c r="AB5" t="e">
        <f>RTD("streambase.rtd",,"STREAM:AppOut", "FIELD:CumQty", CONCATENATE("TUPLENUM:", ROW()-2))</f>
        <v>#N/A</v>
      </c>
      <c r="AC5" t="e">
        <f>RTD("streambase.rtd",,"STREAM:AppOut", "FIELD:AvgPx", CONCATENATE("TUPLENUM:", ROW()-2))</f>
        <v>#N/A</v>
      </c>
      <c r="AD5" t="e">
        <f>RTD("streambase.rtd",,"STREAM:AppOut", "FIELD:UpdateNumber", CONCATENATE("TUPLENUM:", ROW()-2))</f>
        <v>#N/A</v>
      </c>
      <c r="AE5" s="11" t="e">
        <f>RTD("streambase.rtd",,"STREAM:AppOut", "FIELD:UpdateTime", CONCATENATE("TUPLENUM:", ROW()-2))</f>
        <v>#N/A</v>
      </c>
      <c r="AF5" t="e">
        <f>RTD("streambase.rtd",,"STREAM:AppOut", "FIELD:ReplacedbyReqID", CONCATENATE("TUPLENUM:", ROW()-2))</f>
        <v>#N/A</v>
      </c>
      <c r="AG5" t="e">
        <f>RTD("streambase.rtd",,"STREAM:AppOut", "FIELD:LeavesQty", CONCATENATE("TUPLENUM:", ROW()-2))</f>
        <v>#N/A</v>
      </c>
      <c r="AH5" t="e">
        <f>RTD("streambase.rtd",,"STREAM:AppOut", "FIELD:Account", CONCATENATE("TUPLENUM:", ROW()-2))</f>
        <v>#N/A</v>
      </c>
      <c r="AI5" t="e">
        <f>RTD("streambase.rtd",,"STREAM:AppOut", "FIELD:TradeDate", CONCATENATE("TUPLENUM:", ROW()-2))</f>
        <v>#N/A</v>
      </c>
    </row>
    <row r="6" spans="1:35">
      <c r="A6" t="e">
        <f>IF(B6="","",RTD("streambase.rtd",,"STREAM:AppOut", "FIELD:OrderStatus", "LOCALFILTER:AppOrdID==""" &amp; $B6 &amp; """"))</f>
        <v>#N/A</v>
      </c>
      <c r="B6" s="15" t="str">
        <f>IF(E6="","",VLOOKUP(E6,Params!O:P,2,FALSE)&amp;"_"&amp;VLOOKUP(F6,Params!R:S,2,FALSE)&amp;"_"&amp;VLOOKUP(G6,Params!U:V,2,FALSE)&amp;"_"&amp;"00"&amp;ROW()-1)</f>
        <v>18_11_231_005</v>
      </c>
      <c r="C6" s="6" t="s">
        <v>331</v>
      </c>
      <c r="D6" s="6" t="s">
        <v>332</v>
      </c>
      <c r="E6" s="3" t="s">
        <v>291</v>
      </c>
      <c r="F6" s="3" t="s">
        <v>313</v>
      </c>
      <c r="G6" s="3" t="s">
        <v>265</v>
      </c>
      <c r="H6" s="6" t="s">
        <v>344</v>
      </c>
      <c r="I6" s="6" t="s">
        <v>335</v>
      </c>
      <c r="J6" s="8">
        <v>6100</v>
      </c>
      <c r="K6" s="5">
        <v>0</v>
      </c>
      <c r="L6" s="6">
        <v>8007686</v>
      </c>
      <c r="M6" s="6" t="s">
        <v>333</v>
      </c>
      <c r="N6" t="e">
        <f>IF(B6="","",RTD("streambase.rtd",,"STREAM:AppOut", "FIELD:CumQty", "LOCALFILTER:AppOrdID==""" &amp; $B6 &amp; """"))</f>
        <v>#N/A</v>
      </c>
      <c r="O6" t="e">
        <f>IF(B6="","",RTD("streambase.rtd",,"STREAM:AppOut", "FIELD:AvgPx", "LOCALFILTER:AppOrdID==""" &amp; $B6 &amp; """"))</f>
        <v>#N/A</v>
      </c>
      <c r="U6" t="e">
        <f>RTD("streambase.rtd",,"STREAM:AppOut", "FIELD:AppOrdID", CONCATENATE("TUPLENUM:", ROW()-2))</f>
        <v>#N/A</v>
      </c>
      <c r="V6" t="e">
        <f>RTD("streambase.rtd",,"STREAM:AppOut", "FIELD:AppCxlRplID", CONCATENATE("TUPLENUM:", ROW()-2))</f>
        <v>#N/A</v>
      </c>
      <c r="W6" t="e">
        <f>RTD("streambase.rtd",,"STREAM:AppOut", "FIELD:Symbol", CONCATENATE("TUPLENUM:", ROW()-2))</f>
        <v>#N/A</v>
      </c>
      <c r="X6" t="e">
        <f>RTD("streambase.rtd",,"STREAM:AppOut", "FIELD:OrderStatus", CONCATENATE("TUPLENUM:", ROW()-2))</f>
        <v>#N/A</v>
      </c>
      <c r="Y6" t="e">
        <f>RTD("streambase.rtd",,"STREAM:AppOut", "FIELD:BuySell", CONCATENATE("TUPLENUM:", ROW()-2))</f>
        <v>#N/A</v>
      </c>
      <c r="Z6" t="e">
        <f>RTD("streambase.rtd",,"STREAM:AppOut", "FIELD:Price", CONCATENATE("TUPLENUM:", ROW()-2))</f>
        <v>#N/A</v>
      </c>
      <c r="AA6" t="e">
        <f>RTD("streambase.rtd",,"STREAM:AppOut", "FIELD:OrderQty", CONCATENATE("TUPLENUM:", ROW()-2))</f>
        <v>#N/A</v>
      </c>
      <c r="AB6" t="e">
        <f>RTD("streambase.rtd",,"STREAM:AppOut", "FIELD:CumQty", CONCATENATE("TUPLENUM:", ROW()-2))</f>
        <v>#N/A</v>
      </c>
      <c r="AC6" t="e">
        <f>RTD("streambase.rtd",,"STREAM:AppOut", "FIELD:AvgPx", CONCATENATE("TUPLENUM:", ROW()-2))</f>
        <v>#N/A</v>
      </c>
      <c r="AD6" t="e">
        <f>RTD("streambase.rtd",,"STREAM:AppOut", "FIELD:UpdateNumber", CONCATENATE("TUPLENUM:", ROW()-2))</f>
        <v>#N/A</v>
      </c>
      <c r="AE6" s="11" t="e">
        <f>RTD("streambase.rtd",,"STREAM:AppOut", "FIELD:UpdateTime", CONCATENATE("TUPLENUM:", ROW()-2))</f>
        <v>#N/A</v>
      </c>
      <c r="AF6" t="e">
        <f>RTD("streambase.rtd",,"STREAM:AppOut", "FIELD:ReplacedbyReqID", CONCATENATE("TUPLENUM:", ROW()-2))</f>
        <v>#N/A</v>
      </c>
      <c r="AG6" t="e">
        <f>RTD("streambase.rtd",,"STREAM:AppOut", "FIELD:LeavesQty", CONCATENATE("TUPLENUM:", ROW()-2))</f>
        <v>#N/A</v>
      </c>
      <c r="AH6" t="e">
        <f>RTD("streambase.rtd",,"STREAM:AppOut", "FIELD:Account", CONCATENATE("TUPLENUM:", ROW()-2))</f>
        <v>#N/A</v>
      </c>
      <c r="AI6" t="e">
        <f>RTD("streambase.rtd",,"STREAM:AppOut", "FIELD:TradeDate", CONCATENATE("TUPLENUM:", ROW()-2))</f>
        <v>#N/A</v>
      </c>
    </row>
    <row r="7" spans="1:35">
      <c r="A7" t="e">
        <f>IF(B7="","",RTD("streambase.rtd",,"STREAM:AppOut", "FIELD:OrderStatus", "LOCALFILTER:AppOrdID==""" &amp; $B7 &amp; """"))</f>
        <v>#N/A</v>
      </c>
      <c r="B7" s="15" t="str">
        <f>IF(E7="","",VLOOKUP(E7,Params!O:P,2,FALSE)&amp;"_"&amp;VLOOKUP(F7,Params!R:S,2,FALSE)&amp;"_"&amp;VLOOKUP(G7,Params!U:V,2,FALSE)&amp;"_"&amp;"00"&amp;ROW()-1)</f>
        <v>18_11_231_006</v>
      </c>
      <c r="C7" s="6" t="s">
        <v>331</v>
      </c>
      <c r="D7" s="6" t="s">
        <v>332</v>
      </c>
      <c r="E7" t="s">
        <v>291</v>
      </c>
      <c r="F7" t="s">
        <v>313</v>
      </c>
      <c r="G7" t="s">
        <v>265</v>
      </c>
      <c r="H7" s="6" t="s">
        <v>346</v>
      </c>
      <c r="I7" s="6" t="s">
        <v>334</v>
      </c>
      <c r="J7" s="8">
        <v>2400</v>
      </c>
      <c r="K7" s="5">
        <v>0</v>
      </c>
      <c r="L7" s="6">
        <v>8007686</v>
      </c>
      <c r="M7" s="6" t="s">
        <v>333</v>
      </c>
      <c r="N7" t="e">
        <f>IF(B7="","",RTD("streambase.rtd",,"STREAM:AppOut", "FIELD:CumQty", "LOCALFILTER:AppOrdID==""" &amp; $B7 &amp; """"))</f>
        <v>#N/A</v>
      </c>
      <c r="O7" t="e">
        <f>IF(B7="","",RTD("streambase.rtd",,"STREAM:AppOut", "FIELD:AvgPx", "LOCALFILTER:AppOrdID==""" &amp; $B7 &amp; """"))</f>
        <v>#N/A</v>
      </c>
      <c r="U7" t="e">
        <f>RTD("streambase.rtd",,"STREAM:AppOut", "FIELD:AppOrdID", CONCATENATE("TUPLENUM:", ROW()-2))</f>
        <v>#N/A</v>
      </c>
      <c r="V7" t="e">
        <f>RTD("streambase.rtd",,"STREAM:AppOut", "FIELD:AppCxlRplID", CONCATENATE("TUPLENUM:", ROW()-2))</f>
        <v>#N/A</v>
      </c>
      <c r="W7" t="e">
        <f>RTD("streambase.rtd",,"STREAM:AppOut", "FIELD:Symbol", CONCATENATE("TUPLENUM:", ROW()-2))</f>
        <v>#N/A</v>
      </c>
      <c r="X7" t="e">
        <f>RTD("streambase.rtd",,"STREAM:AppOut", "FIELD:OrderStatus", CONCATENATE("TUPLENUM:", ROW()-2))</f>
        <v>#N/A</v>
      </c>
      <c r="Y7" t="e">
        <f>RTD("streambase.rtd",,"STREAM:AppOut", "FIELD:BuySell", CONCATENATE("TUPLENUM:", ROW()-2))</f>
        <v>#N/A</v>
      </c>
      <c r="Z7" t="e">
        <f>RTD("streambase.rtd",,"STREAM:AppOut", "FIELD:Price", CONCATENATE("TUPLENUM:", ROW()-2))</f>
        <v>#N/A</v>
      </c>
      <c r="AA7" t="e">
        <f>RTD("streambase.rtd",,"STREAM:AppOut", "FIELD:OrderQty", CONCATENATE("TUPLENUM:", ROW()-2))</f>
        <v>#N/A</v>
      </c>
      <c r="AB7" t="e">
        <f>RTD("streambase.rtd",,"STREAM:AppOut", "FIELD:CumQty", CONCATENATE("TUPLENUM:", ROW()-2))</f>
        <v>#N/A</v>
      </c>
      <c r="AC7" t="e">
        <f>RTD("streambase.rtd",,"STREAM:AppOut", "FIELD:AvgPx", CONCATENATE("TUPLENUM:", ROW()-2))</f>
        <v>#N/A</v>
      </c>
      <c r="AD7" t="e">
        <f>RTD("streambase.rtd",,"STREAM:AppOut", "FIELD:UpdateNumber", CONCATENATE("TUPLENUM:", ROW()-2))</f>
        <v>#N/A</v>
      </c>
      <c r="AE7" s="11" t="e">
        <f>RTD("streambase.rtd",,"STREAM:AppOut", "FIELD:UpdateTime", CONCATENATE("TUPLENUM:", ROW()-2))</f>
        <v>#N/A</v>
      </c>
      <c r="AF7" t="e">
        <f>RTD("streambase.rtd",,"STREAM:AppOut", "FIELD:ReplacedbyReqID", CONCATENATE("TUPLENUM:", ROW()-2))</f>
        <v>#N/A</v>
      </c>
      <c r="AG7" t="e">
        <f>RTD("streambase.rtd",,"STREAM:AppOut", "FIELD:LeavesQty", CONCATENATE("TUPLENUM:", ROW()-2))</f>
        <v>#N/A</v>
      </c>
      <c r="AH7" t="e">
        <f>RTD("streambase.rtd",,"STREAM:AppOut", "FIELD:Account", CONCATENATE("TUPLENUM:", ROW()-2))</f>
        <v>#N/A</v>
      </c>
      <c r="AI7" t="e">
        <f>RTD("streambase.rtd",,"STREAM:AppOut", "FIELD:TradeDate", CONCATENATE("TUPLENUM:", ROW()-2))</f>
        <v>#N/A</v>
      </c>
    </row>
    <row r="8" spans="1:35">
      <c r="A8" t="e">
        <f>IF(B8="","",RTD("streambase.rtd",,"STREAM:AppOut", "FIELD:OrderStatus", "LOCALFILTER:AppOrdID==""" &amp; $B8 &amp; """"))</f>
        <v>#N/A</v>
      </c>
      <c r="B8" s="15" t="str">
        <f>IF(E8="","",VLOOKUP(E8,Params!O:P,2,FALSE)&amp;"_"&amp;VLOOKUP(F8,Params!R:S,2,FALSE)&amp;"_"&amp;VLOOKUP(G8,Params!U:V,2,FALSE)&amp;"_"&amp;"00"&amp;ROW()-1)</f>
        <v>18_11_231_007</v>
      </c>
      <c r="C8" s="6" t="s">
        <v>331</v>
      </c>
      <c r="D8" s="6" t="s">
        <v>332</v>
      </c>
      <c r="E8" t="s">
        <v>291</v>
      </c>
      <c r="F8" t="s">
        <v>313</v>
      </c>
      <c r="G8" t="s">
        <v>265</v>
      </c>
      <c r="H8" s="6" t="s">
        <v>339</v>
      </c>
      <c r="I8" s="6" t="s">
        <v>335</v>
      </c>
      <c r="J8" s="8">
        <v>3500</v>
      </c>
      <c r="K8" s="5">
        <v>0</v>
      </c>
      <c r="L8" s="6">
        <v>8007686</v>
      </c>
      <c r="M8" s="6" t="s">
        <v>333</v>
      </c>
      <c r="N8" t="e">
        <f>IF(B8="","",RTD("streambase.rtd",,"STREAM:AppOut", "FIELD:CumQty", "LOCALFILTER:AppOrdID==""" &amp; $B8 &amp; """"))</f>
        <v>#N/A</v>
      </c>
      <c r="O8" t="e">
        <f>IF(B8="","",RTD("streambase.rtd",,"STREAM:AppOut", "FIELD:AvgPx", "LOCALFILTER:AppOrdID==""" &amp; $B8 &amp; """"))</f>
        <v>#N/A</v>
      </c>
      <c r="U8" t="e">
        <f>RTD("streambase.rtd",,"STREAM:AppOut", "FIELD:AppOrdID", CONCATENATE("TUPLENUM:", ROW()-2))</f>
        <v>#N/A</v>
      </c>
      <c r="V8" t="e">
        <f>RTD("streambase.rtd",,"STREAM:AppOut", "FIELD:AppCxlRplID", CONCATENATE("TUPLENUM:", ROW()-2))</f>
        <v>#N/A</v>
      </c>
      <c r="W8" t="e">
        <f>RTD("streambase.rtd",,"STREAM:AppOut", "FIELD:Symbol", CONCATENATE("TUPLENUM:", ROW()-2))</f>
        <v>#N/A</v>
      </c>
      <c r="X8" t="e">
        <f>RTD("streambase.rtd",,"STREAM:AppOut", "FIELD:OrderStatus", CONCATENATE("TUPLENUM:", ROW()-2))</f>
        <v>#N/A</v>
      </c>
      <c r="Y8" t="e">
        <f>RTD("streambase.rtd",,"STREAM:AppOut", "FIELD:BuySell", CONCATENATE("TUPLENUM:", ROW()-2))</f>
        <v>#N/A</v>
      </c>
      <c r="Z8" t="e">
        <f>RTD("streambase.rtd",,"STREAM:AppOut", "FIELD:Price", CONCATENATE("TUPLENUM:", ROW()-2))</f>
        <v>#N/A</v>
      </c>
      <c r="AA8" t="e">
        <f>RTD("streambase.rtd",,"STREAM:AppOut", "FIELD:OrderQty", CONCATENATE("TUPLENUM:", ROW()-2))</f>
        <v>#N/A</v>
      </c>
      <c r="AB8" t="e">
        <f>RTD("streambase.rtd",,"STREAM:AppOut", "FIELD:CumQty", CONCATENATE("TUPLENUM:", ROW()-2))</f>
        <v>#N/A</v>
      </c>
      <c r="AC8" t="e">
        <f>RTD("streambase.rtd",,"STREAM:AppOut", "FIELD:AvgPx", CONCATENATE("TUPLENUM:", ROW()-2))</f>
        <v>#N/A</v>
      </c>
      <c r="AD8" t="e">
        <f>RTD("streambase.rtd",,"STREAM:AppOut", "FIELD:UpdateNumber", CONCATENATE("TUPLENUM:", ROW()-2))</f>
        <v>#N/A</v>
      </c>
      <c r="AE8" s="11" t="e">
        <f>RTD("streambase.rtd",,"STREAM:AppOut", "FIELD:UpdateTime", CONCATENATE("TUPLENUM:", ROW()-2))</f>
        <v>#N/A</v>
      </c>
      <c r="AF8" t="e">
        <f>RTD("streambase.rtd",,"STREAM:AppOut", "FIELD:ReplacedbyReqID", CONCATENATE("TUPLENUM:", ROW()-2))</f>
        <v>#N/A</v>
      </c>
      <c r="AG8" t="e">
        <f>RTD("streambase.rtd",,"STREAM:AppOut", "FIELD:LeavesQty", CONCATENATE("TUPLENUM:", ROW()-2))</f>
        <v>#N/A</v>
      </c>
      <c r="AH8" t="e">
        <f>RTD("streambase.rtd",,"STREAM:AppOut", "FIELD:Account", CONCATENATE("TUPLENUM:", ROW()-2))</f>
        <v>#N/A</v>
      </c>
      <c r="AI8" t="e">
        <f>RTD("streambase.rtd",,"STREAM:AppOut", "FIELD:TradeDate", CONCATENATE("TUPLENUM:", ROW()-2))</f>
        <v>#N/A</v>
      </c>
    </row>
    <row r="9" spans="1:35">
      <c r="A9" t="e">
        <f>IF(B9="","",RTD("streambase.rtd",,"STREAM:AppOut", "FIELD:OrderStatus", "LOCALFILTER:AppOrdID==""" &amp; $B9 &amp; """"))</f>
        <v>#N/A</v>
      </c>
      <c r="B9" s="15" t="str">
        <f>IF(E9="","",VLOOKUP(E9,Params!O:P,2,FALSE)&amp;"_"&amp;VLOOKUP(F9,Params!R:S,2,FALSE)&amp;"_"&amp;VLOOKUP(G9,Params!U:V,2,FALSE)&amp;"_"&amp;"00"&amp;ROW()-1)</f>
        <v>18_11_231_008</v>
      </c>
      <c r="C9" s="6" t="s">
        <v>331</v>
      </c>
      <c r="D9" s="6" t="s">
        <v>332</v>
      </c>
      <c r="E9" t="s">
        <v>291</v>
      </c>
      <c r="F9" t="s">
        <v>313</v>
      </c>
      <c r="G9" t="s">
        <v>265</v>
      </c>
      <c r="H9" s="6" t="s">
        <v>347</v>
      </c>
      <c r="I9" s="6" t="s">
        <v>335</v>
      </c>
      <c r="J9" s="8">
        <v>2300</v>
      </c>
      <c r="K9" s="5">
        <v>0</v>
      </c>
      <c r="L9" s="6">
        <v>8007686</v>
      </c>
      <c r="M9" s="6" t="s">
        <v>333</v>
      </c>
      <c r="N9" t="e">
        <f>IF(B9="","",RTD("streambase.rtd",,"STREAM:AppOut", "FIELD:CumQty", "LOCALFILTER:AppOrdID==""" &amp; $B9 &amp; """"))</f>
        <v>#N/A</v>
      </c>
      <c r="O9" t="e">
        <f>IF(B9="","",RTD("streambase.rtd",,"STREAM:AppOut", "FIELD:AvgPx", "LOCALFILTER:AppOrdID==""" &amp; $B9 &amp; """"))</f>
        <v>#N/A</v>
      </c>
      <c r="U9" t="e">
        <f>RTD("streambase.rtd",,"STREAM:AppOut", "FIELD:AppOrdID", CONCATENATE("TUPLENUM:", ROW()-2))</f>
        <v>#N/A</v>
      </c>
      <c r="V9" t="e">
        <f>RTD("streambase.rtd",,"STREAM:AppOut", "FIELD:AppCxlRplID", CONCATENATE("TUPLENUM:", ROW()-2))</f>
        <v>#N/A</v>
      </c>
      <c r="W9" t="e">
        <f>RTD("streambase.rtd",,"STREAM:AppOut", "FIELD:Symbol", CONCATENATE("TUPLENUM:", ROW()-2))</f>
        <v>#N/A</v>
      </c>
      <c r="X9" t="e">
        <f>RTD("streambase.rtd",,"STREAM:AppOut", "FIELD:OrderStatus", CONCATENATE("TUPLENUM:", ROW()-2))</f>
        <v>#N/A</v>
      </c>
      <c r="Y9" t="e">
        <f>RTD("streambase.rtd",,"STREAM:AppOut", "FIELD:BuySell", CONCATENATE("TUPLENUM:", ROW()-2))</f>
        <v>#N/A</v>
      </c>
      <c r="Z9" t="e">
        <f>RTD("streambase.rtd",,"STREAM:AppOut", "FIELD:Price", CONCATENATE("TUPLENUM:", ROW()-2))</f>
        <v>#N/A</v>
      </c>
      <c r="AA9" t="e">
        <f>RTD("streambase.rtd",,"STREAM:AppOut", "FIELD:OrderQty", CONCATENATE("TUPLENUM:", ROW()-2))</f>
        <v>#N/A</v>
      </c>
      <c r="AB9" t="e">
        <f>RTD("streambase.rtd",,"STREAM:AppOut", "FIELD:CumQty", CONCATENATE("TUPLENUM:", ROW()-2))</f>
        <v>#N/A</v>
      </c>
      <c r="AC9" t="e">
        <f>RTD("streambase.rtd",,"STREAM:AppOut", "FIELD:AvgPx", CONCATENATE("TUPLENUM:", ROW()-2))</f>
        <v>#N/A</v>
      </c>
      <c r="AD9" t="e">
        <f>RTD("streambase.rtd",,"STREAM:AppOut", "FIELD:UpdateNumber", CONCATENATE("TUPLENUM:", ROW()-2))</f>
        <v>#N/A</v>
      </c>
      <c r="AE9" s="11" t="e">
        <f>RTD("streambase.rtd",,"STREAM:AppOut", "FIELD:UpdateTime", CONCATENATE("TUPLENUM:", ROW()-2))</f>
        <v>#N/A</v>
      </c>
      <c r="AF9" t="e">
        <f>RTD("streambase.rtd",,"STREAM:AppOut", "FIELD:ReplacedbyReqID", CONCATENATE("TUPLENUM:", ROW()-2))</f>
        <v>#N/A</v>
      </c>
      <c r="AG9" t="e">
        <f>RTD("streambase.rtd",,"STREAM:AppOut", "FIELD:LeavesQty", CONCATENATE("TUPLENUM:", ROW()-2))</f>
        <v>#N/A</v>
      </c>
      <c r="AH9" t="e">
        <f>RTD("streambase.rtd",,"STREAM:AppOut", "FIELD:Account", CONCATENATE("TUPLENUM:", ROW()-2))</f>
        <v>#N/A</v>
      </c>
      <c r="AI9" t="e">
        <f>RTD("streambase.rtd",,"STREAM:AppOut", "FIELD:TradeDate", CONCATENATE("TUPLENUM:", ROW()-2))</f>
        <v>#N/A</v>
      </c>
    </row>
    <row r="10" spans="1:35">
      <c r="A10" t="e">
        <f>IF(B10="","",RTD("streambase.rtd",,"STREAM:AppOut", "FIELD:OrderStatus", "LOCALFILTER:AppOrdID==""" &amp; $B10 &amp; """"))</f>
        <v>#N/A</v>
      </c>
      <c r="B10" s="15" t="str">
        <f>IF(E10="","",VLOOKUP(E10,Params!O:P,2,FALSE)&amp;"_"&amp;VLOOKUP(F10,Params!R:S,2,FALSE)&amp;"_"&amp;VLOOKUP(G10,Params!U:V,2,FALSE)&amp;"_"&amp;"00"&amp;ROW()-1)</f>
        <v>18_11_231_009</v>
      </c>
      <c r="C10" s="6" t="s">
        <v>331</v>
      </c>
      <c r="D10" s="6" t="s">
        <v>332</v>
      </c>
      <c r="E10" t="s">
        <v>291</v>
      </c>
      <c r="F10" t="s">
        <v>313</v>
      </c>
      <c r="G10" t="s">
        <v>265</v>
      </c>
      <c r="H10" s="6" t="s">
        <v>350</v>
      </c>
      <c r="I10" s="6" t="s">
        <v>335</v>
      </c>
      <c r="J10" s="8">
        <v>12600</v>
      </c>
      <c r="K10" s="5">
        <v>0</v>
      </c>
      <c r="L10" s="6">
        <v>8007686</v>
      </c>
      <c r="M10" s="6" t="s">
        <v>333</v>
      </c>
      <c r="N10" t="e">
        <f>IF(B10="","",RTD("streambase.rtd",,"STREAM:AppOut", "FIELD:CumQty", "LOCALFILTER:AppOrdID==""" &amp; $B10 &amp; """"))</f>
        <v>#N/A</v>
      </c>
      <c r="O10" t="e">
        <f>IF(B10="","",RTD("streambase.rtd",,"STREAM:AppOut", "FIELD:AvgPx", "LOCALFILTER:AppOrdID==""" &amp; $B10 &amp; """"))</f>
        <v>#N/A</v>
      </c>
      <c r="U10" t="e">
        <f>RTD("streambase.rtd",,"STREAM:AppOut", "FIELD:AppOrdID", CONCATENATE("TUPLENUM:", ROW()-2))</f>
        <v>#N/A</v>
      </c>
      <c r="V10" t="e">
        <f>RTD("streambase.rtd",,"STREAM:AppOut", "FIELD:AppCxlRplID", CONCATENATE("TUPLENUM:", ROW()-2))</f>
        <v>#N/A</v>
      </c>
      <c r="W10" t="e">
        <f>RTD("streambase.rtd",,"STREAM:AppOut", "FIELD:Symbol", CONCATENATE("TUPLENUM:", ROW()-2))</f>
        <v>#N/A</v>
      </c>
      <c r="X10" t="e">
        <f>RTD("streambase.rtd",,"STREAM:AppOut", "FIELD:OrderStatus", CONCATENATE("TUPLENUM:", ROW()-2))</f>
        <v>#N/A</v>
      </c>
      <c r="Y10" t="e">
        <f>RTD("streambase.rtd",,"STREAM:AppOut", "FIELD:BuySell", CONCATENATE("TUPLENUM:", ROW()-2))</f>
        <v>#N/A</v>
      </c>
      <c r="Z10" t="e">
        <f>RTD("streambase.rtd",,"STREAM:AppOut", "FIELD:Price", CONCATENATE("TUPLENUM:", ROW()-2))</f>
        <v>#N/A</v>
      </c>
      <c r="AA10" t="e">
        <f>RTD("streambase.rtd",,"STREAM:AppOut", "FIELD:OrderQty", CONCATENATE("TUPLENUM:", ROW()-2))</f>
        <v>#N/A</v>
      </c>
      <c r="AB10" t="e">
        <f>RTD("streambase.rtd",,"STREAM:AppOut", "FIELD:CumQty", CONCATENATE("TUPLENUM:", ROW()-2))</f>
        <v>#N/A</v>
      </c>
      <c r="AC10" t="e">
        <f>RTD("streambase.rtd",,"STREAM:AppOut", "FIELD:AvgPx", CONCATENATE("TUPLENUM:", ROW()-2))</f>
        <v>#N/A</v>
      </c>
      <c r="AD10" t="e">
        <f>RTD("streambase.rtd",,"STREAM:AppOut", "FIELD:UpdateNumber", CONCATENATE("TUPLENUM:", ROW()-2))</f>
        <v>#N/A</v>
      </c>
      <c r="AE10" s="11" t="e">
        <f>RTD("streambase.rtd",,"STREAM:AppOut", "FIELD:UpdateTime", CONCATENATE("TUPLENUM:", ROW()-2))</f>
        <v>#N/A</v>
      </c>
      <c r="AF10" t="e">
        <f>RTD("streambase.rtd",,"STREAM:AppOut", "FIELD:ReplacedbyReqID", CONCATENATE("TUPLENUM:", ROW()-2))</f>
        <v>#N/A</v>
      </c>
      <c r="AG10" t="e">
        <f>RTD("streambase.rtd",,"STREAM:AppOut", "FIELD:LeavesQty", CONCATENATE("TUPLENUM:", ROW()-2))</f>
        <v>#N/A</v>
      </c>
      <c r="AH10" t="e">
        <f>RTD("streambase.rtd",,"STREAM:AppOut", "FIELD:Account", CONCATENATE("TUPLENUM:", ROW()-2))</f>
        <v>#N/A</v>
      </c>
      <c r="AI10" t="e">
        <f>RTD("streambase.rtd",,"STREAM:AppOut", "FIELD:TradeDate", CONCATENATE("TUPLENUM:", ROW()-2))</f>
        <v>#N/A</v>
      </c>
    </row>
    <row r="11" spans="1:35">
      <c r="A11" t="str">
        <f>IF(B11="","",RTD("streambase.rtd",,"STREAM:AppOut", "FIELD:OrderStatus", "LOCALFILTER:AppOrdID==""" &amp; $B11 &amp; """"))</f>
        <v/>
      </c>
      <c r="B11" s="15" t="str">
        <f>IF(E11="","",VLOOKUP(E11,Params!O:P,2,FALSE)&amp;"_"&amp;VLOOKUP(F11,Params!R:S,2,FALSE)&amp;"_"&amp;VLOOKUP(G11,Params!U:V,2,FALSE)&amp;"_"&amp;"00"&amp;ROW()-1)</f>
        <v/>
      </c>
      <c r="C11" s="6"/>
      <c r="D11" s="6"/>
      <c r="H11" s="6"/>
      <c r="I11" s="6"/>
      <c r="L11" s="6"/>
      <c r="M11" s="6"/>
      <c r="N11" t="str">
        <f>IF(B11="","",RTD("streambase.rtd",,"STREAM:AppOut", "FIELD:CumQty", "LOCALFILTER:AppOrdID==""" &amp; $B11 &amp; """"))</f>
        <v/>
      </c>
      <c r="O11" t="str">
        <f>IF(B11="","",RTD("streambase.rtd",,"STREAM:AppOut", "FIELD:AvgPx", "LOCALFILTER:AppOrdID==""" &amp; $B11 &amp; """"))</f>
        <v/>
      </c>
      <c r="U11" t="e">
        <f>RTD("streambase.rtd",,"STREAM:AppOut", "FIELD:AppOrdID", CONCATENATE("TUPLENUM:", ROW()-2))</f>
        <v>#N/A</v>
      </c>
      <c r="V11" t="e">
        <f>RTD("streambase.rtd",,"STREAM:AppOut", "FIELD:AppCxlRplID", CONCATENATE("TUPLENUM:", ROW()-2))</f>
        <v>#N/A</v>
      </c>
      <c r="W11" t="e">
        <f>RTD("streambase.rtd",,"STREAM:AppOut", "FIELD:Symbol", CONCATENATE("TUPLENUM:", ROW()-2))</f>
        <v>#N/A</v>
      </c>
      <c r="X11" t="e">
        <f>RTD("streambase.rtd",,"STREAM:AppOut", "FIELD:OrderStatus", CONCATENATE("TUPLENUM:", ROW()-2))</f>
        <v>#N/A</v>
      </c>
      <c r="Y11" t="e">
        <f>RTD("streambase.rtd",,"STREAM:AppOut", "FIELD:BuySell", CONCATENATE("TUPLENUM:", ROW()-2))</f>
        <v>#N/A</v>
      </c>
      <c r="Z11" t="e">
        <f>RTD("streambase.rtd",,"STREAM:AppOut", "FIELD:Price", CONCATENATE("TUPLENUM:", ROW()-2))</f>
        <v>#N/A</v>
      </c>
      <c r="AA11" t="e">
        <f>RTD("streambase.rtd",,"STREAM:AppOut", "FIELD:OrderQty", CONCATENATE("TUPLENUM:", ROW()-2))</f>
        <v>#N/A</v>
      </c>
      <c r="AB11" t="e">
        <f>RTD("streambase.rtd",,"STREAM:AppOut", "FIELD:CumQty", CONCATENATE("TUPLENUM:", ROW()-2))</f>
        <v>#N/A</v>
      </c>
      <c r="AC11" t="e">
        <f>RTD("streambase.rtd",,"STREAM:AppOut", "FIELD:AvgPx", CONCATENATE("TUPLENUM:", ROW()-2))</f>
        <v>#N/A</v>
      </c>
      <c r="AD11" t="e">
        <f>RTD("streambase.rtd",,"STREAM:AppOut", "FIELD:UpdateNumber", CONCATENATE("TUPLENUM:", ROW()-2))</f>
        <v>#N/A</v>
      </c>
      <c r="AE11" s="11" t="e">
        <f>RTD("streambase.rtd",,"STREAM:AppOut", "FIELD:UpdateTime", CONCATENATE("TUPLENUM:", ROW()-2))</f>
        <v>#N/A</v>
      </c>
      <c r="AF11" t="e">
        <f>RTD("streambase.rtd",,"STREAM:AppOut", "FIELD:ReplacedbyReqID", CONCATENATE("TUPLENUM:", ROW()-2))</f>
        <v>#N/A</v>
      </c>
      <c r="AG11" t="e">
        <f>RTD("streambase.rtd",,"STREAM:AppOut", "FIELD:LeavesQty", CONCATENATE("TUPLENUM:", ROW()-2))</f>
        <v>#N/A</v>
      </c>
      <c r="AH11" t="e">
        <f>RTD("streambase.rtd",,"STREAM:AppOut", "FIELD:Account", CONCATENATE("TUPLENUM:", ROW()-2))</f>
        <v>#N/A</v>
      </c>
      <c r="AI11" t="e">
        <f>RTD("streambase.rtd",,"STREAM:AppOut", "FIELD:TradeDate", CONCATENATE("TUPLENUM:", ROW()-2))</f>
        <v>#N/A</v>
      </c>
    </row>
    <row r="12" spans="1:35">
      <c r="A12" t="str">
        <f>IF(B12="","",RTD("streambase.rtd",,"STREAM:AppOut", "FIELD:OrderStatus", "LOCALFILTER:AppOrdID==""" &amp; $B12 &amp; """"))</f>
        <v/>
      </c>
      <c r="B12" s="15" t="str">
        <f>IF(E12="","",VLOOKUP(E12,Params!O:P,2,FALSE)&amp;"_"&amp;VLOOKUP(F12,Params!R:S,2,FALSE)&amp;"_"&amp;VLOOKUP(G12,Params!U:V,2,FALSE)&amp;"_"&amp;"00"&amp;ROW()-1)</f>
        <v/>
      </c>
      <c r="C12" s="6"/>
      <c r="D12" s="6"/>
      <c r="H12" s="6"/>
      <c r="I12" s="6"/>
      <c r="L12" s="6"/>
      <c r="M12" s="6"/>
      <c r="N12" t="str">
        <f>IF(B12="","",RTD("streambase.rtd",,"STREAM:AppOut", "FIELD:CumQty", "LOCALFILTER:AppOrdID==""" &amp; $B12 &amp; """"))</f>
        <v/>
      </c>
      <c r="O12" t="str">
        <f>IF(B12="","",RTD("streambase.rtd",,"STREAM:AppOut", "FIELD:AvgPx", "LOCALFILTER:AppOrdID==""" &amp; $B12 &amp; """"))</f>
        <v/>
      </c>
      <c r="U12" t="e">
        <f>RTD("streambase.rtd",,"STREAM:AppOut", "FIELD:AppOrdID", CONCATENATE("TUPLENUM:", ROW()-2))</f>
        <v>#N/A</v>
      </c>
      <c r="V12" t="e">
        <f>RTD("streambase.rtd",,"STREAM:AppOut", "FIELD:AppCxlRplID", CONCATENATE("TUPLENUM:", ROW()-2))</f>
        <v>#N/A</v>
      </c>
      <c r="W12" t="e">
        <f>RTD("streambase.rtd",,"STREAM:AppOut", "FIELD:Symbol", CONCATENATE("TUPLENUM:", ROW()-2))</f>
        <v>#N/A</v>
      </c>
      <c r="X12" t="e">
        <f>RTD("streambase.rtd",,"STREAM:AppOut", "FIELD:OrderStatus", CONCATENATE("TUPLENUM:", ROW()-2))</f>
        <v>#N/A</v>
      </c>
      <c r="Y12" t="e">
        <f>RTD("streambase.rtd",,"STREAM:AppOut", "FIELD:BuySell", CONCATENATE("TUPLENUM:", ROW()-2))</f>
        <v>#N/A</v>
      </c>
      <c r="Z12" t="e">
        <f>RTD("streambase.rtd",,"STREAM:AppOut", "FIELD:Price", CONCATENATE("TUPLENUM:", ROW()-2))</f>
        <v>#N/A</v>
      </c>
      <c r="AA12" t="e">
        <f>RTD("streambase.rtd",,"STREAM:AppOut", "FIELD:OrderQty", CONCATENATE("TUPLENUM:", ROW()-2))</f>
        <v>#N/A</v>
      </c>
      <c r="AB12" t="e">
        <f>RTD("streambase.rtd",,"STREAM:AppOut", "FIELD:CumQty", CONCATENATE("TUPLENUM:", ROW()-2))</f>
        <v>#N/A</v>
      </c>
      <c r="AC12" t="e">
        <f>RTD("streambase.rtd",,"STREAM:AppOut", "FIELD:AvgPx", CONCATENATE("TUPLENUM:", ROW()-2))</f>
        <v>#N/A</v>
      </c>
      <c r="AD12" t="e">
        <f>RTD("streambase.rtd",,"STREAM:AppOut", "FIELD:UpdateNumber", CONCATENATE("TUPLENUM:", ROW()-2))</f>
        <v>#N/A</v>
      </c>
      <c r="AE12" s="11" t="e">
        <f>RTD("streambase.rtd",,"STREAM:AppOut", "FIELD:UpdateTime", CONCATENATE("TUPLENUM:", ROW()-2))</f>
        <v>#N/A</v>
      </c>
      <c r="AF12" t="e">
        <f>RTD("streambase.rtd",,"STREAM:AppOut", "FIELD:ReplacedbyReqID", CONCATENATE("TUPLENUM:", ROW()-2))</f>
        <v>#N/A</v>
      </c>
      <c r="AG12" t="e">
        <f>RTD("streambase.rtd",,"STREAM:AppOut", "FIELD:LeavesQty", CONCATENATE("TUPLENUM:", ROW()-2))</f>
        <v>#N/A</v>
      </c>
      <c r="AH12" t="e">
        <f>RTD("streambase.rtd",,"STREAM:AppOut", "FIELD:Account", CONCATENATE("TUPLENUM:", ROW()-2))</f>
        <v>#N/A</v>
      </c>
      <c r="AI12" t="e">
        <f>RTD("streambase.rtd",,"STREAM:AppOut", "FIELD:TradeDate", CONCATENATE("TUPLENUM:", ROW()-2))</f>
        <v>#N/A</v>
      </c>
    </row>
    <row r="13" spans="1:35">
      <c r="A13" t="str">
        <f>IF(B13="","",RTD("streambase.rtd",,"STREAM:AppOut", "FIELD:OrderStatus", "LOCALFILTER:AppOrdID==""" &amp; $B13 &amp; """"))</f>
        <v/>
      </c>
      <c r="B13" s="15" t="str">
        <f>IF(E13="","",VLOOKUP(E13,Params!O:P,2,FALSE)&amp;"_"&amp;VLOOKUP(F13,Params!R:S,2,FALSE)&amp;"_"&amp;VLOOKUP(G13,Params!U:V,2,FALSE)&amp;"_"&amp;"00"&amp;ROW()-1)</f>
        <v/>
      </c>
      <c r="C13" s="6"/>
      <c r="D13" s="6"/>
      <c r="H13" s="6"/>
      <c r="I13" s="6"/>
      <c r="L13" s="6"/>
      <c r="M13" s="6"/>
      <c r="N13" t="str">
        <f>IF(B13="","",RTD("streambase.rtd",,"STREAM:AppOut", "FIELD:CumQty", "LOCALFILTER:AppOrdID==""" &amp; $B13 &amp; """"))</f>
        <v/>
      </c>
      <c r="O13" t="str">
        <f>IF(B13="","",RTD("streambase.rtd",,"STREAM:AppOut", "FIELD:AvgPx", "LOCALFILTER:AppOrdID==""" &amp; $B13 &amp; """"))</f>
        <v/>
      </c>
      <c r="U13" t="e">
        <f>RTD("streambase.rtd",,"STREAM:AppOut", "FIELD:AppOrdID", CONCATENATE("TUPLENUM:", ROW()-2))</f>
        <v>#N/A</v>
      </c>
      <c r="V13" t="e">
        <f>RTD("streambase.rtd",,"STREAM:AppOut", "FIELD:AppCxlRplID", CONCATENATE("TUPLENUM:", ROW()-2))</f>
        <v>#N/A</v>
      </c>
      <c r="W13" t="e">
        <f>RTD("streambase.rtd",,"STREAM:AppOut", "FIELD:Symbol", CONCATENATE("TUPLENUM:", ROW()-2))</f>
        <v>#N/A</v>
      </c>
      <c r="X13" t="e">
        <f>RTD("streambase.rtd",,"STREAM:AppOut", "FIELD:OrderStatus", CONCATENATE("TUPLENUM:", ROW()-2))</f>
        <v>#N/A</v>
      </c>
      <c r="Y13" t="e">
        <f>RTD("streambase.rtd",,"STREAM:AppOut", "FIELD:BuySell", CONCATENATE("TUPLENUM:", ROW()-2))</f>
        <v>#N/A</v>
      </c>
      <c r="Z13" t="e">
        <f>RTD("streambase.rtd",,"STREAM:AppOut", "FIELD:Price", CONCATENATE("TUPLENUM:", ROW()-2))</f>
        <v>#N/A</v>
      </c>
      <c r="AA13" t="e">
        <f>RTD("streambase.rtd",,"STREAM:AppOut", "FIELD:OrderQty", CONCATENATE("TUPLENUM:", ROW()-2))</f>
        <v>#N/A</v>
      </c>
      <c r="AB13" t="e">
        <f>RTD("streambase.rtd",,"STREAM:AppOut", "FIELD:CumQty", CONCATENATE("TUPLENUM:", ROW()-2))</f>
        <v>#N/A</v>
      </c>
      <c r="AC13" t="e">
        <f>RTD("streambase.rtd",,"STREAM:AppOut", "FIELD:AvgPx", CONCATENATE("TUPLENUM:", ROW()-2))</f>
        <v>#N/A</v>
      </c>
      <c r="AD13" t="e">
        <f>RTD("streambase.rtd",,"STREAM:AppOut", "FIELD:UpdateNumber", CONCATENATE("TUPLENUM:", ROW()-2))</f>
        <v>#N/A</v>
      </c>
      <c r="AE13" s="11" t="e">
        <f>RTD("streambase.rtd",,"STREAM:AppOut", "FIELD:UpdateTime", CONCATENATE("TUPLENUM:", ROW()-2))</f>
        <v>#N/A</v>
      </c>
      <c r="AF13" t="e">
        <f>RTD("streambase.rtd",,"STREAM:AppOut", "FIELD:ReplacedbyReqID", CONCATENATE("TUPLENUM:", ROW()-2))</f>
        <v>#N/A</v>
      </c>
      <c r="AG13" t="e">
        <f>RTD("streambase.rtd",,"STREAM:AppOut", "FIELD:LeavesQty", CONCATENATE("TUPLENUM:", ROW()-2))</f>
        <v>#N/A</v>
      </c>
      <c r="AH13" t="e">
        <f>RTD("streambase.rtd",,"STREAM:AppOut", "FIELD:Account", CONCATENATE("TUPLENUM:", ROW()-2))</f>
        <v>#N/A</v>
      </c>
      <c r="AI13" t="e">
        <f>RTD("streambase.rtd",,"STREAM:AppOut", "FIELD:TradeDate", CONCATENATE("TUPLENUM:", ROW()-2))</f>
        <v>#N/A</v>
      </c>
    </row>
    <row r="14" spans="1:35">
      <c r="A14" t="str">
        <f>IF(B14="","",RTD("streambase.rtd",,"STREAM:AppOut", "FIELD:OrderStatus", "LOCALFILTER:AppOrdID==""" &amp; $B14 &amp; """"))</f>
        <v/>
      </c>
      <c r="B14" s="15" t="str">
        <f>IF(E14="","",VLOOKUP(E14,Params!O:P,2,FALSE)&amp;"_"&amp;VLOOKUP(F14,Params!R:S,2,FALSE)&amp;"_"&amp;VLOOKUP(G14,Params!U:V,2,FALSE)&amp;"_"&amp;"00"&amp;ROW()-1)</f>
        <v/>
      </c>
      <c r="C14" s="6"/>
      <c r="D14" s="6"/>
      <c r="H14" s="6"/>
      <c r="I14" s="6"/>
      <c r="L14" s="6"/>
      <c r="M14" s="6"/>
      <c r="N14" t="str">
        <f>IF(B14="","",RTD("streambase.rtd",,"STREAM:AppOut", "FIELD:CumQty", "LOCALFILTER:AppOrdID==""" &amp; $B14 &amp; """"))</f>
        <v/>
      </c>
      <c r="O14" t="str">
        <f>IF(B14="","",RTD("streambase.rtd",,"STREAM:AppOut", "FIELD:AvgPx", "LOCALFILTER:AppOrdID==""" &amp; $B14 &amp; """"))</f>
        <v/>
      </c>
      <c r="U14" t="e">
        <f>RTD("streambase.rtd",,"STREAM:AppOut", "FIELD:AppOrdID", CONCATENATE("TUPLENUM:", ROW()-2))</f>
        <v>#N/A</v>
      </c>
      <c r="V14" t="e">
        <f>RTD("streambase.rtd",,"STREAM:AppOut", "FIELD:AppCxlRplID", CONCATENATE("TUPLENUM:", ROW()-2))</f>
        <v>#N/A</v>
      </c>
      <c r="W14" t="e">
        <f>RTD("streambase.rtd",,"STREAM:AppOut", "FIELD:Symbol", CONCATENATE("TUPLENUM:", ROW()-2))</f>
        <v>#N/A</v>
      </c>
      <c r="X14" t="e">
        <f>RTD("streambase.rtd",,"STREAM:AppOut", "FIELD:OrderStatus", CONCATENATE("TUPLENUM:", ROW()-2))</f>
        <v>#N/A</v>
      </c>
      <c r="Y14" t="e">
        <f>RTD("streambase.rtd",,"STREAM:AppOut", "FIELD:BuySell", CONCATENATE("TUPLENUM:", ROW()-2))</f>
        <v>#N/A</v>
      </c>
      <c r="Z14" t="e">
        <f>RTD("streambase.rtd",,"STREAM:AppOut", "FIELD:Price", CONCATENATE("TUPLENUM:", ROW()-2))</f>
        <v>#N/A</v>
      </c>
      <c r="AA14" t="e">
        <f>RTD("streambase.rtd",,"STREAM:AppOut", "FIELD:OrderQty", CONCATENATE("TUPLENUM:", ROW()-2))</f>
        <v>#N/A</v>
      </c>
      <c r="AB14" t="e">
        <f>RTD("streambase.rtd",,"STREAM:AppOut", "FIELD:CumQty", CONCATENATE("TUPLENUM:", ROW()-2))</f>
        <v>#N/A</v>
      </c>
      <c r="AC14" t="e">
        <f>RTD("streambase.rtd",,"STREAM:AppOut", "FIELD:AvgPx", CONCATENATE("TUPLENUM:", ROW()-2))</f>
        <v>#N/A</v>
      </c>
      <c r="AD14" t="e">
        <f>RTD("streambase.rtd",,"STREAM:AppOut", "FIELD:UpdateNumber", CONCATENATE("TUPLENUM:", ROW()-2))</f>
        <v>#N/A</v>
      </c>
      <c r="AE14" s="11" t="e">
        <f>RTD("streambase.rtd",,"STREAM:AppOut", "FIELD:UpdateTime", CONCATENATE("TUPLENUM:", ROW()-2))</f>
        <v>#N/A</v>
      </c>
      <c r="AF14" t="e">
        <f>RTD("streambase.rtd",,"STREAM:AppOut", "FIELD:ReplacedbyReqID", CONCATENATE("TUPLENUM:", ROW()-2))</f>
        <v>#N/A</v>
      </c>
      <c r="AG14" t="e">
        <f>RTD("streambase.rtd",,"STREAM:AppOut", "FIELD:LeavesQty", CONCATENATE("TUPLENUM:", ROW()-2))</f>
        <v>#N/A</v>
      </c>
      <c r="AH14" t="e">
        <f>RTD("streambase.rtd",,"STREAM:AppOut", "FIELD:Account", CONCATENATE("TUPLENUM:", ROW()-2))</f>
        <v>#N/A</v>
      </c>
      <c r="AI14" t="e">
        <f>RTD("streambase.rtd",,"STREAM:AppOut", "FIELD:TradeDate", CONCATENATE("TUPLENUM:", ROW()-2))</f>
        <v>#N/A</v>
      </c>
    </row>
    <row r="15" spans="1:35">
      <c r="A15" t="str">
        <f>IF(B15="","",RTD("streambase.rtd",,"STREAM:AppOut", "FIELD:OrderStatus", "LOCALFILTER:AppOrdID==""" &amp; $B15 &amp; """"))</f>
        <v/>
      </c>
      <c r="B15" s="15" t="str">
        <f>IF(E15="","",VLOOKUP(E15,Params!O:P,2,FALSE)&amp;"_"&amp;VLOOKUP(F15,Params!R:S,2,FALSE)&amp;"_"&amp;VLOOKUP(G15,Params!U:V,2,FALSE)&amp;"_"&amp;"00"&amp;ROW()-1)</f>
        <v/>
      </c>
      <c r="C15" s="6"/>
      <c r="D15" s="6"/>
      <c r="H15" s="6"/>
      <c r="I15" s="6"/>
      <c r="L15" s="6"/>
      <c r="M15" s="6"/>
      <c r="N15" t="str">
        <f>IF(B15="","",RTD("streambase.rtd",,"STREAM:AppOut", "FIELD:CumQty", "LOCALFILTER:AppOrdID==""" &amp; $B15 &amp; """"))</f>
        <v/>
      </c>
      <c r="O15" t="str">
        <f>IF(B15="","",RTD("streambase.rtd",,"STREAM:AppOut", "FIELD:AvgPx", "LOCALFILTER:AppOrdID==""" &amp; $B15 &amp; """"))</f>
        <v/>
      </c>
      <c r="U15" t="e">
        <f>RTD("streambase.rtd",,"STREAM:AppOut", "FIELD:AppOrdID", CONCATENATE("TUPLENUM:", ROW()-2))</f>
        <v>#N/A</v>
      </c>
      <c r="V15" t="e">
        <f>RTD("streambase.rtd",,"STREAM:AppOut", "FIELD:AppCxlRplID", CONCATENATE("TUPLENUM:", ROW()-2))</f>
        <v>#N/A</v>
      </c>
      <c r="W15" t="e">
        <f>RTD("streambase.rtd",,"STREAM:AppOut", "FIELD:Symbol", CONCATENATE("TUPLENUM:", ROW()-2))</f>
        <v>#N/A</v>
      </c>
      <c r="X15" t="e">
        <f>RTD("streambase.rtd",,"STREAM:AppOut", "FIELD:OrderStatus", CONCATENATE("TUPLENUM:", ROW()-2))</f>
        <v>#N/A</v>
      </c>
      <c r="Y15" t="e">
        <f>RTD("streambase.rtd",,"STREAM:AppOut", "FIELD:BuySell", CONCATENATE("TUPLENUM:", ROW()-2))</f>
        <v>#N/A</v>
      </c>
      <c r="Z15" t="e">
        <f>RTD("streambase.rtd",,"STREAM:AppOut", "FIELD:Price", CONCATENATE("TUPLENUM:", ROW()-2))</f>
        <v>#N/A</v>
      </c>
      <c r="AA15" t="e">
        <f>RTD("streambase.rtd",,"STREAM:AppOut", "FIELD:OrderQty", CONCATENATE("TUPLENUM:", ROW()-2))</f>
        <v>#N/A</v>
      </c>
      <c r="AB15" t="e">
        <f>RTD("streambase.rtd",,"STREAM:AppOut", "FIELD:CumQty", CONCATENATE("TUPLENUM:", ROW()-2))</f>
        <v>#N/A</v>
      </c>
      <c r="AC15" t="e">
        <f>RTD("streambase.rtd",,"STREAM:AppOut", "FIELD:AvgPx", CONCATENATE("TUPLENUM:", ROW()-2))</f>
        <v>#N/A</v>
      </c>
      <c r="AD15" t="e">
        <f>RTD("streambase.rtd",,"STREAM:AppOut", "FIELD:UpdateNumber", CONCATENATE("TUPLENUM:", ROW()-2))</f>
        <v>#N/A</v>
      </c>
      <c r="AE15" s="11" t="e">
        <f>RTD("streambase.rtd",,"STREAM:AppOut", "FIELD:UpdateTime", CONCATENATE("TUPLENUM:", ROW()-2))</f>
        <v>#N/A</v>
      </c>
      <c r="AF15" t="e">
        <f>RTD("streambase.rtd",,"STREAM:AppOut", "FIELD:ReplacedbyReqID", CONCATENATE("TUPLENUM:", ROW()-2))</f>
        <v>#N/A</v>
      </c>
      <c r="AG15" t="e">
        <f>RTD("streambase.rtd",,"STREAM:AppOut", "FIELD:LeavesQty", CONCATENATE("TUPLENUM:", ROW()-2))</f>
        <v>#N/A</v>
      </c>
      <c r="AH15" t="e">
        <f>RTD("streambase.rtd",,"STREAM:AppOut", "FIELD:Account", CONCATENATE("TUPLENUM:", ROW()-2))</f>
        <v>#N/A</v>
      </c>
      <c r="AI15" t="e">
        <f>RTD("streambase.rtd",,"STREAM:AppOut", "FIELD:TradeDate", CONCATENATE("TUPLENUM:", ROW()-2))</f>
        <v>#N/A</v>
      </c>
    </row>
    <row r="16" spans="1:35">
      <c r="A16" t="str">
        <f>IF(B16="","",RTD("streambase.rtd",,"STREAM:AppOut", "FIELD:OrderStatus", "LOCALFILTER:AppOrdID==""" &amp; $B16 &amp; """"))</f>
        <v/>
      </c>
      <c r="B16" s="15" t="str">
        <f>IF(E16="","",VLOOKUP(E16,Params!O:P,2,FALSE)&amp;"_"&amp;VLOOKUP(F16,Params!R:S,2,FALSE)&amp;"_"&amp;VLOOKUP(G16,Params!U:V,2,FALSE)&amp;"_"&amp;"00"&amp;ROW()-1)</f>
        <v/>
      </c>
      <c r="C16" s="6"/>
      <c r="D16" s="6"/>
      <c r="H16" s="6"/>
      <c r="I16" s="6"/>
      <c r="L16" s="6"/>
      <c r="M16" s="6"/>
      <c r="N16" t="str">
        <f>IF(B16="","",RTD("streambase.rtd",,"STREAM:AppOut", "FIELD:CumQty", "LOCALFILTER:AppOrdID==""" &amp; $B16 &amp; """"))</f>
        <v/>
      </c>
      <c r="O16" t="str">
        <f>IF(B16="","",RTD("streambase.rtd",,"STREAM:AppOut", "FIELD:AvgPx", "LOCALFILTER:AppOrdID==""" &amp; $B16 &amp; """"))</f>
        <v/>
      </c>
      <c r="U16" t="e">
        <f>RTD("streambase.rtd",,"STREAM:AppOut", "FIELD:AppOrdID", CONCATENATE("TUPLENUM:", ROW()-2))</f>
        <v>#N/A</v>
      </c>
      <c r="V16" t="e">
        <f>RTD("streambase.rtd",,"STREAM:AppOut", "FIELD:AppCxlRplID", CONCATENATE("TUPLENUM:", ROW()-2))</f>
        <v>#N/A</v>
      </c>
      <c r="W16" t="e">
        <f>RTD("streambase.rtd",,"STREAM:AppOut", "FIELD:Symbol", CONCATENATE("TUPLENUM:", ROW()-2))</f>
        <v>#N/A</v>
      </c>
      <c r="X16" t="e">
        <f>RTD("streambase.rtd",,"STREAM:AppOut", "FIELD:OrderStatus", CONCATENATE("TUPLENUM:", ROW()-2))</f>
        <v>#N/A</v>
      </c>
      <c r="Y16" t="e">
        <f>RTD("streambase.rtd",,"STREAM:AppOut", "FIELD:BuySell", CONCATENATE("TUPLENUM:", ROW()-2))</f>
        <v>#N/A</v>
      </c>
      <c r="Z16" t="e">
        <f>RTD("streambase.rtd",,"STREAM:AppOut", "FIELD:Price", CONCATENATE("TUPLENUM:", ROW()-2))</f>
        <v>#N/A</v>
      </c>
      <c r="AA16" t="e">
        <f>RTD("streambase.rtd",,"STREAM:AppOut", "FIELD:OrderQty", CONCATENATE("TUPLENUM:", ROW()-2))</f>
        <v>#N/A</v>
      </c>
      <c r="AB16" t="e">
        <f>RTD("streambase.rtd",,"STREAM:AppOut", "FIELD:CumQty", CONCATENATE("TUPLENUM:", ROW()-2))</f>
        <v>#N/A</v>
      </c>
      <c r="AC16" t="e">
        <f>RTD("streambase.rtd",,"STREAM:AppOut", "FIELD:AvgPx", CONCATENATE("TUPLENUM:", ROW()-2))</f>
        <v>#N/A</v>
      </c>
      <c r="AD16" t="e">
        <f>RTD("streambase.rtd",,"STREAM:AppOut", "FIELD:UpdateNumber", CONCATENATE("TUPLENUM:", ROW()-2))</f>
        <v>#N/A</v>
      </c>
      <c r="AE16" s="11" t="e">
        <f>RTD("streambase.rtd",,"STREAM:AppOut", "FIELD:UpdateTime", CONCATENATE("TUPLENUM:", ROW()-2))</f>
        <v>#N/A</v>
      </c>
      <c r="AF16" t="e">
        <f>RTD("streambase.rtd",,"STREAM:AppOut", "FIELD:ReplacedbyReqID", CONCATENATE("TUPLENUM:", ROW()-2))</f>
        <v>#N/A</v>
      </c>
      <c r="AG16" t="e">
        <f>RTD("streambase.rtd",,"STREAM:AppOut", "FIELD:LeavesQty", CONCATENATE("TUPLENUM:", ROW()-2))</f>
        <v>#N/A</v>
      </c>
      <c r="AH16" t="e">
        <f>RTD("streambase.rtd",,"STREAM:AppOut", "FIELD:Account", CONCATENATE("TUPLENUM:", ROW()-2))</f>
        <v>#N/A</v>
      </c>
      <c r="AI16" t="e">
        <f>RTD("streambase.rtd",,"STREAM:AppOut", "FIELD:TradeDate", CONCATENATE("TUPLENUM:", ROW()-2))</f>
        <v>#N/A</v>
      </c>
    </row>
    <row r="17" spans="1:35">
      <c r="A17" t="str">
        <f>IF(B17="","",RTD("streambase.rtd",,"STREAM:AppOut", "FIELD:OrderStatus", "LOCALFILTER:AppOrdID==""" &amp; $B17 &amp; """"))</f>
        <v/>
      </c>
      <c r="B17" s="15" t="str">
        <f>IF(E17="","",VLOOKUP(E17,Params!O:P,2,FALSE)&amp;"_"&amp;VLOOKUP(F17,Params!R:S,2,FALSE)&amp;"_"&amp;VLOOKUP(G17,Params!U:V,2,FALSE)&amp;"_"&amp;"00"&amp;ROW()-1)</f>
        <v/>
      </c>
      <c r="C17" s="6"/>
      <c r="D17" s="6"/>
      <c r="H17" s="6"/>
      <c r="I17" s="6"/>
      <c r="L17" s="6"/>
      <c r="M17" s="6"/>
      <c r="N17" t="str">
        <f>IF(B17="","",RTD("streambase.rtd",,"STREAM:AppOut", "FIELD:CumQty", "LOCALFILTER:AppOrdID==""" &amp; $B17 &amp; """"))</f>
        <v/>
      </c>
      <c r="O17" t="str">
        <f>IF(B17="","",RTD("streambase.rtd",,"STREAM:AppOut", "FIELD:AvgPx", "LOCALFILTER:AppOrdID==""" &amp; $B17 &amp; """"))</f>
        <v/>
      </c>
      <c r="U17" t="e">
        <f>RTD("streambase.rtd",,"STREAM:AppOut", "FIELD:AppOrdID", CONCATENATE("TUPLENUM:", ROW()-2))</f>
        <v>#N/A</v>
      </c>
      <c r="V17" t="e">
        <f>RTD("streambase.rtd",,"STREAM:AppOut", "FIELD:AppCxlRplID", CONCATENATE("TUPLENUM:", ROW()-2))</f>
        <v>#N/A</v>
      </c>
      <c r="W17" t="e">
        <f>RTD("streambase.rtd",,"STREAM:AppOut", "FIELD:Symbol", CONCATENATE("TUPLENUM:", ROW()-2))</f>
        <v>#N/A</v>
      </c>
      <c r="X17" t="e">
        <f>RTD("streambase.rtd",,"STREAM:AppOut", "FIELD:OrderStatus", CONCATENATE("TUPLENUM:", ROW()-2))</f>
        <v>#N/A</v>
      </c>
      <c r="Y17" t="e">
        <f>RTD("streambase.rtd",,"STREAM:AppOut", "FIELD:BuySell", CONCATENATE("TUPLENUM:", ROW()-2))</f>
        <v>#N/A</v>
      </c>
      <c r="Z17" t="e">
        <f>RTD("streambase.rtd",,"STREAM:AppOut", "FIELD:Price", CONCATENATE("TUPLENUM:", ROW()-2))</f>
        <v>#N/A</v>
      </c>
      <c r="AA17" t="e">
        <f>RTD("streambase.rtd",,"STREAM:AppOut", "FIELD:OrderQty", CONCATENATE("TUPLENUM:", ROW()-2))</f>
        <v>#N/A</v>
      </c>
      <c r="AB17" t="e">
        <f>RTD("streambase.rtd",,"STREAM:AppOut", "FIELD:CumQty", CONCATENATE("TUPLENUM:", ROW()-2))</f>
        <v>#N/A</v>
      </c>
      <c r="AC17" t="e">
        <f>RTD("streambase.rtd",,"STREAM:AppOut", "FIELD:AvgPx", CONCATENATE("TUPLENUM:", ROW()-2))</f>
        <v>#N/A</v>
      </c>
      <c r="AD17" t="e">
        <f>RTD("streambase.rtd",,"STREAM:AppOut", "FIELD:UpdateNumber", CONCATENATE("TUPLENUM:", ROW()-2))</f>
        <v>#N/A</v>
      </c>
      <c r="AE17" s="11" t="e">
        <f>RTD("streambase.rtd",,"STREAM:AppOut", "FIELD:UpdateTime", CONCATENATE("TUPLENUM:", ROW()-2))</f>
        <v>#N/A</v>
      </c>
      <c r="AF17" t="e">
        <f>RTD("streambase.rtd",,"STREAM:AppOut", "FIELD:ReplacedbyReqID", CONCATENATE("TUPLENUM:", ROW()-2))</f>
        <v>#N/A</v>
      </c>
      <c r="AG17" t="e">
        <f>RTD("streambase.rtd",,"STREAM:AppOut", "FIELD:LeavesQty", CONCATENATE("TUPLENUM:", ROW()-2))</f>
        <v>#N/A</v>
      </c>
      <c r="AH17" t="e">
        <f>RTD("streambase.rtd",,"STREAM:AppOut", "FIELD:Account", CONCATENATE("TUPLENUM:", ROW()-2))</f>
        <v>#N/A</v>
      </c>
      <c r="AI17" t="e">
        <f>RTD("streambase.rtd",,"STREAM:AppOut", "FIELD:TradeDate", CONCATENATE("TUPLENUM:", ROW()-2))</f>
        <v>#N/A</v>
      </c>
    </row>
    <row r="18" spans="1:35">
      <c r="A18" t="str">
        <f>IF(B18="","",RTD("streambase.rtd",,"STREAM:AppOut", "FIELD:OrderStatus", "LOCALFILTER:AppOrdID==""" &amp; $B18 &amp; """"))</f>
        <v/>
      </c>
      <c r="B18" s="15" t="str">
        <f>IF(E18="","",VLOOKUP(E18,Params!O:P,2,FALSE)&amp;"_"&amp;VLOOKUP(F18,Params!R:S,2,FALSE)&amp;"_"&amp;VLOOKUP(G18,Params!U:V,2,FALSE)&amp;"_"&amp;"00"&amp;ROW()-1)</f>
        <v/>
      </c>
      <c r="C18" s="6"/>
      <c r="D18" s="6"/>
      <c r="H18" s="6"/>
      <c r="I18" s="6"/>
      <c r="L18" s="6"/>
      <c r="M18" s="6"/>
      <c r="N18" t="str">
        <f>IF(B18="","",RTD("streambase.rtd",,"STREAM:AppOut", "FIELD:CumQty", "LOCALFILTER:AppOrdID==""" &amp; $B18 &amp; """"))</f>
        <v/>
      </c>
      <c r="O18" t="str">
        <f>IF(B18="","",RTD("streambase.rtd",,"STREAM:AppOut", "FIELD:AvgPx", "LOCALFILTER:AppOrdID==""" &amp; $B18 &amp; """"))</f>
        <v/>
      </c>
      <c r="U18" t="e">
        <f>RTD("streambase.rtd",,"STREAM:AppOut", "FIELD:AppOrdID", CONCATENATE("TUPLENUM:", ROW()-2))</f>
        <v>#N/A</v>
      </c>
      <c r="V18" t="e">
        <f>RTD("streambase.rtd",,"STREAM:AppOut", "FIELD:AppCxlRplID", CONCATENATE("TUPLENUM:", ROW()-2))</f>
        <v>#N/A</v>
      </c>
      <c r="W18" t="e">
        <f>RTD("streambase.rtd",,"STREAM:AppOut", "FIELD:Symbol", CONCATENATE("TUPLENUM:", ROW()-2))</f>
        <v>#N/A</v>
      </c>
      <c r="X18" t="e">
        <f>RTD("streambase.rtd",,"STREAM:AppOut", "FIELD:OrderStatus", CONCATENATE("TUPLENUM:", ROW()-2))</f>
        <v>#N/A</v>
      </c>
      <c r="Y18" t="e">
        <f>RTD("streambase.rtd",,"STREAM:AppOut", "FIELD:BuySell", CONCATENATE("TUPLENUM:", ROW()-2))</f>
        <v>#N/A</v>
      </c>
      <c r="Z18" t="e">
        <f>RTD("streambase.rtd",,"STREAM:AppOut", "FIELD:Price", CONCATENATE("TUPLENUM:", ROW()-2))</f>
        <v>#N/A</v>
      </c>
      <c r="AA18" t="e">
        <f>RTD("streambase.rtd",,"STREAM:AppOut", "FIELD:OrderQty", CONCATENATE("TUPLENUM:", ROW()-2))</f>
        <v>#N/A</v>
      </c>
      <c r="AB18" t="e">
        <f>RTD("streambase.rtd",,"STREAM:AppOut", "FIELD:CumQty", CONCATENATE("TUPLENUM:", ROW()-2))</f>
        <v>#N/A</v>
      </c>
      <c r="AC18" t="e">
        <f>RTD("streambase.rtd",,"STREAM:AppOut", "FIELD:AvgPx", CONCATENATE("TUPLENUM:", ROW()-2))</f>
        <v>#N/A</v>
      </c>
      <c r="AD18" t="e">
        <f>RTD("streambase.rtd",,"STREAM:AppOut", "FIELD:UpdateNumber", CONCATENATE("TUPLENUM:", ROW()-2))</f>
        <v>#N/A</v>
      </c>
      <c r="AE18" s="11" t="e">
        <f>RTD("streambase.rtd",,"STREAM:AppOut", "FIELD:UpdateTime", CONCATENATE("TUPLENUM:", ROW()-2))</f>
        <v>#N/A</v>
      </c>
      <c r="AF18" t="e">
        <f>RTD("streambase.rtd",,"STREAM:AppOut", "FIELD:ReplacedbyReqID", CONCATENATE("TUPLENUM:", ROW()-2))</f>
        <v>#N/A</v>
      </c>
      <c r="AG18" t="e">
        <f>RTD("streambase.rtd",,"STREAM:AppOut", "FIELD:LeavesQty", CONCATENATE("TUPLENUM:", ROW()-2))</f>
        <v>#N/A</v>
      </c>
      <c r="AH18" t="e">
        <f>RTD("streambase.rtd",,"STREAM:AppOut", "FIELD:Account", CONCATENATE("TUPLENUM:", ROW()-2))</f>
        <v>#N/A</v>
      </c>
      <c r="AI18" t="e">
        <f>RTD("streambase.rtd",,"STREAM:AppOut", "FIELD:TradeDate", CONCATENATE("TUPLENUM:", ROW()-2))</f>
        <v>#N/A</v>
      </c>
    </row>
    <row r="19" spans="1:35">
      <c r="A19" t="str">
        <f>IF(B19="","",RTD("streambase.rtd",,"STREAM:AppOut", "FIELD:OrderStatus", "LOCALFILTER:AppOrdID==""" &amp; $B19 &amp; """"))</f>
        <v/>
      </c>
      <c r="B19" s="15" t="str">
        <f>IF(E19="","",VLOOKUP(E19,Params!O:P,2,FALSE)&amp;"_"&amp;VLOOKUP(F19,Params!R:S,2,FALSE)&amp;"_"&amp;VLOOKUP(G19,Params!U:V,2,FALSE)&amp;"_"&amp;"00"&amp;ROW()-1)</f>
        <v/>
      </c>
      <c r="C19" s="6"/>
      <c r="D19" s="6"/>
      <c r="H19" s="6"/>
      <c r="I19" s="6"/>
      <c r="L19" s="6"/>
      <c r="M19" s="6"/>
      <c r="N19" t="str">
        <f>IF(B19="","",RTD("streambase.rtd",,"STREAM:AppOut", "FIELD:CumQty", "LOCALFILTER:AppOrdID==""" &amp; $B19 &amp; """"))</f>
        <v/>
      </c>
      <c r="O19" t="str">
        <f>IF(B19="","",RTD("streambase.rtd",,"STREAM:AppOut", "FIELD:AvgPx", "LOCALFILTER:AppOrdID==""" &amp; $B19 &amp; """"))</f>
        <v/>
      </c>
      <c r="U19" t="e">
        <f>RTD("streambase.rtd",,"STREAM:AppOut", "FIELD:AppOrdID", CONCATENATE("TUPLENUM:", ROW()-2))</f>
        <v>#N/A</v>
      </c>
      <c r="V19" t="e">
        <f>RTD("streambase.rtd",,"STREAM:AppOut", "FIELD:AppCxlRplID", CONCATENATE("TUPLENUM:", ROW()-2))</f>
        <v>#N/A</v>
      </c>
      <c r="W19" t="e">
        <f>RTD("streambase.rtd",,"STREAM:AppOut", "FIELD:Symbol", CONCATENATE("TUPLENUM:", ROW()-2))</f>
        <v>#N/A</v>
      </c>
      <c r="X19" t="e">
        <f>RTD("streambase.rtd",,"STREAM:AppOut", "FIELD:OrderStatus", CONCATENATE("TUPLENUM:", ROW()-2))</f>
        <v>#N/A</v>
      </c>
      <c r="Y19" t="e">
        <f>RTD("streambase.rtd",,"STREAM:AppOut", "FIELD:BuySell", CONCATENATE("TUPLENUM:", ROW()-2))</f>
        <v>#N/A</v>
      </c>
      <c r="Z19" t="e">
        <f>RTD("streambase.rtd",,"STREAM:AppOut", "FIELD:Price", CONCATENATE("TUPLENUM:", ROW()-2))</f>
        <v>#N/A</v>
      </c>
      <c r="AA19" t="e">
        <f>RTD("streambase.rtd",,"STREAM:AppOut", "FIELD:OrderQty", CONCATENATE("TUPLENUM:", ROW()-2))</f>
        <v>#N/A</v>
      </c>
      <c r="AB19" t="e">
        <f>RTD("streambase.rtd",,"STREAM:AppOut", "FIELD:CumQty", CONCATENATE("TUPLENUM:", ROW()-2))</f>
        <v>#N/A</v>
      </c>
      <c r="AC19" t="e">
        <f>RTD("streambase.rtd",,"STREAM:AppOut", "FIELD:AvgPx", CONCATENATE("TUPLENUM:", ROW()-2))</f>
        <v>#N/A</v>
      </c>
      <c r="AD19" t="e">
        <f>RTD("streambase.rtd",,"STREAM:AppOut", "FIELD:UpdateNumber", CONCATENATE("TUPLENUM:", ROW()-2))</f>
        <v>#N/A</v>
      </c>
      <c r="AE19" s="11" t="e">
        <f>RTD("streambase.rtd",,"STREAM:AppOut", "FIELD:UpdateTime", CONCATENATE("TUPLENUM:", ROW()-2))</f>
        <v>#N/A</v>
      </c>
      <c r="AF19" t="e">
        <f>RTD("streambase.rtd",,"STREAM:AppOut", "FIELD:ReplacedbyReqID", CONCATENATE("TUPLENUM:", ROW()-2))</f>
        <v>#N/A</v>
      </c>
      <c r="AG19" t="e">
        <f>RTD("streambase.rtd",,"STREAM:AppOut", "FIELD:LeavesQty", CONCATENATE("TUPLENUM:", ROW()-2))</f>
        <v>#N/A</v>
      </c>
      <c r="AH19" t="e">
        <f>RTD("streambase.rtd",,"STREAM:AppOut", "FIELD:Account", CONCATENATE("TUPLENUM:", ROW()-2))</f>
        <v>#N/A</v>
      </c>
      <c r="AI19" t="e">
        <f>RTD("streambase.rtd",,"STREAM:AppOut", "FIELD:TradeDate", CONCATENATE("TUPLENUM:", ROW()-2))</f>
        <v>#N/A</v>
      </c>
    </row>
    <row r="20" spans="1:35">
      <c r="A20" t="str">
        <f>IF(B20="","",RTD("streambase.rtd",,"STREAM:AppOut", "FIELD:OrderStatus", "LOCALFILTER:AppOrdID==""" &amp; $B20 &amp; """"))</f>
        <v/>
      </c>
      <c r="B20" s="15" t="str">
        <f>IF(E20="","",VLOOKUP(E20,Params!O:P,2,FALSE)&amp;"_"&amp;VLOOKUP(F20,Params!R:S,2,FALSE)&amp;"_"&amp;VLOOKUP(G20,Params!U:V,2,FALSE)&amp;"_"&amp;"00"&amp;ROW()-1)</f>
        <v/>
      </c>
      <c r="C20" s="6"/>
      <c r="D20" s="6"/>
      <c r="H20" s="6"/>
      <c r="I20" s="6"/>
      <c r="L20" s="6"/>
      <c r="M20" s="6"/>
      <c r="N20" t="str">
        <f>IF(B20="","",RTD("streambase.rtd",,"STREAM:AppOut", "FIELD:CumQty", "LOCALFILTER:AppOrdID==""" &amp; $B20 &amp; """"))</f>
        <v/>
      </c>
      <c r="O20" t="str">
        <f>IF(B20="","",RTD("streambase.rtd",,"STREAM:AppOut", "FIELD:AvgPx", "LOCALFILTER:AppOrdID==""" &amp; $B20 &amp; """"))</f>
        <v/>
      </c>
      <c r="U20" t="e">
        <f>RTD("streambase.rtd",,"STREAM:AppOut", "FIELD:AppOrdID", CONCATENATE("TUPLENUM:", ROW()-2))</f>
        <v>#N/A</v>
      </c>
      <c r="V20" t="e">
        <f>RTD("streambase.rtd",,"STREAM:AppOut", "FIELD:AppCxlRplID", CONCATENATE("TUPLENUM:", ROW()-2))</f>
        <v>#N/A</v>
      </c>
      <c r="W20" t="e">
        <f>RTD("streambase.rtd",,"STREAM:AppOut", "FIELD:Symbol", CONCATENATE("TUPLENUM:", ROW()-2))</f>
        <v>#N/A</v>
      </c>
      <c r="X20" t="e">
        <f>RTD("streambase.rtd",,"STREAM:AppOut", "FIELD:OrderStatus", CONCATENATE("TUPLENUM:", ROW()-2))</f>
        <v>#N/A</v>
      </c>
      <c r="Y20" t="e">
        <f>RTD("streambase.rtd",,"STREAM:AppOut", "FIELD:BuySell", CONCATENATE("TUPLENUM:", ROW()-2))</f>
        <v>#N/A</v>
      </c>
      <c r="Z20" t="e">
        <f>RTD("streambase.rtd",,"STREAM:AppOut", "FIELD:Price", CONCATENATE("TUPLENUM:", ROW()-2))</f>
        <v>#N/A</v>
      </c>
      <c r="AA20" t="e">
        <f>RTD("streambase.rtd",,"STREAM:AppOut", "FIELD:OrderQty", CONCATENATE("TUPLENUM:", ROW()-2))</f>
        <v>#N/A</v>
      </c>
      <c r="AB20" t="e">
        <f>RTD("streambase.rtd",,"STREAM:AppOut", "FIELD:CumQty", CONCATENATE("TUPLENUM:", ROW()-2))</f>
        <v>#N/A</v>
      </c>
      <c r="AC20" t="e">
        <f>RTD("streambase.rtd",,"STREAM:AppOut", "FIELD:AvgPx", CONCATENATE("TUPLENUM:", ROW()-2))</f>
        <v>#N/A</v>
      </c>
      <c r="AD20" t="e">
        <f>RTD("streambase.rtd",,"STREAM:AppOut", "FIELD:UpdateNumber", CONCATENATE("TUPLENUM:", ROW()-2))</f>
        <v>#N/A</v>
      </c>
      <c r="AE20" s="11" t="e">
        <f>RTD("streambase.rtd",,"STREAM:AppOut", "FIELD:UpdateTime", CONCATENATE("TUPLENUM:", ROW()-2))</f>
        <v>#N/A</v>
      </c>
      <c r="AF20" t="e">
        <f>RTD("streambase.rtd",,"STREAM:AppOut", "FIELD:ReplacedbyReqID", CONCATENATE("TUPLENUM:", ROW()-2))</f>
        <v>#N/A</v>
      </c>
      <c r="AG20" t="e">
        <f>RTD("streambase.rtd",,"STREAM:AppOut", "FIELD:LeavesQty", CONCATENATE("TUPLENUM:", ROW()-2))</f>
        <v>#N/A</v>
      </c>
      <c r="AH20" t="e">
        <f>RTD("streambase.rtd",,"STREAM:AppOut", "FIELD:Account", CONCATENATE("TUPLENUM:", ROW()-2))</f>
        <v>#N/A</v>
      </c>
      <c r="AI20" t="e">
        <f>RTD("streambase.rtd",,"STREAM:AppOut", "FIELD:TradeDate", CONCATENATE("TUPLENUM:", ROW()-2))</f>
        <v>#N/A</v>
      </c>
    </row>
    <row r="21" spans="1:35">
      <c r="A21" t="str">
        <f>IF(B21="","",RTD("streambase.rtd",,"STREAM:AppOut", "FIELD:OrderStatus", "LOCALFILTER:AppOrdID==""" &amp; $B21 &amp; """"))</f>
        <v/>
      </c>
      <c r="B21" s="15" t="str">
        <f>IF(E21="","",VLOOKUP(E21,Params!O:P,2,FALSE)&amp;"_"&amp;VLOOKUP(F21,Params!R:S,2,FALSE)&amp;"_"&amp;VLOOKUP(G21,Params!U:V,2,FALSE)&amp;"_"&amp;"00"&amp;ROW()-1)</f>
        <v/>
      </c>
      <c r="C21" s="6"/>
      <c r="D21" s="6"/>
      <c r="H21" s="6"/>
      <c r="I21" s="6"/>
      <c r="L21" s="6"/>
      <c r="M21" s="6"/>
      <c r="N21" t="str">
        <f>IF(B21="","",RTD("streambase.rtd",,"STREAM:AppOut", "FIELD:CumQty", "LOCALFILTER:AppOrdID==""" &amp; $B21 &amp; """"))</f>
        <v/>
      </c>
      <c r="O21" t="str">
        <f>IF(B21="","",RTD("streambase.rtd",,"STREAM:AppOut", "FIELD:AvgPx", "LOCALFILTER:AppOrdID==""" &amp; $B21 &amp; """"))</f>
        <v/>
      </c>
      <c r="U21" t="e">
        <f>RTD("streambase.rtd",,"STREAM:AppOut", "FIELD:AppOrdID", CONCATENATE("TUPLENUM:", ROW()-2))</f>
        <v>#N/A</v>
      </c>
      <c r="V21" t="e">
        <f>RTD("streambase.rtd",,"STREAM:AppOut", "FIELD:AppCxlRplID", CONCATENATE("TUPLENUM:", ROW()-2))</f>
        <v>#N/A</v>
      </c>
      <c r="W21" t="e">
        <f>RTD("streambase.rtd",,"STREAM:AppOut", "FIELD:Symbol", CONCATENATE("TUPLENUM:", ROW()-2))</f>
        <v>#N/A</v>
      </c>
      <c r="X21" t="e">
        <f>RTD("streambase.rtd",,"STREAM:AppOut", "FIELD:OrderStatus", CONCATENATE("TUPLENUM:", ROW()-2))</f>
        <v>#N/A</v>
      </c>
      <c r="Y21" t="e">
        <f>RTD("streambase.rtd",,"STREAM:AppOut", "FIELD:BuySell", CONCATENATE("TUPLENUM:", ROW()-2))</f>
        <v>#N/A</v>
      </c>
      <c r="Z21" t="e">
        <f>RTD("streambase.rtd",,"STREAM:AppOut", "FIELD:Price", CONCATENATE("TUPLENUM:", ROW()-2))</f>
        <v>#N/A</v>
      </c>
      <c r="AA21" t="e">
        <f>RTD("streambase.rtd",,"STREAM:AppOut", "FIELD:OrderQty", CONCATENATE("TUPLENUM:", ROW()-2))</f>
        <v>#N/A</v>
      </c>
      <c r="AB21" t="e">
        <f>RTD("streambase.rtd",,"STREAM:AppOut", "FIELD:CumQty", CONCATENATE("TUPLENUM:", ROW()-2))</f>
        <v>#N/A</v>
      </c>
      <c r="AC21" t="e">
        <f>RTD("streambase.rtd",,"STREAM:AppOut", "FIELD:AvgPx", CONCATENATE("TUPLENUM:", ROW()-2))</f>
        <v>#N/A</v>
      </c>
      <c r="AD21" t="e">
        <f>RTD("streambase.rtd",,"STREAM:AppOut", "FIELD:UpdateNumber", CONCATENATE("TUPLENUM:", ROW()-2))</f>
        <v>#N/A</v>
      </c>
      <c r="AE21" s="11" t="e">
        <f>RTD("streambase.rtd",,"STREAM:AppOut", "FIELD:UpdateTime", CONCATENATE("TUPLENUM:", ROW()-2))</f>
        <v>#N/A</v>
      </c>
      <c r="AF21" t="e">
        <f>RTD("streambase.rtd",,"STREAM:AppOut", "FIELD:ReplacedbyReqID", CONCATENATE("TUPLENUM:", ROW()-2))</f>
        <v>#N/A</v>
      </c>
      <c r="AG21" t="e">
        <f>RTD("streambase.rtd",,"STREAM:AppOut", "FIELD:LeavesQty", CONCATENATE("TUPLENUM:", ROW()-2))</f>
        <v>#N/A</v>
      </c>
      <c r="AH21" t="e">
        <f>RTD("streambase.rtd",,"STREAM:AppOut", "FIELD:Account", CONCATENATE("TUPLENUM:", ROW()-2))</f>
        <v>#N/A</v>
      </c>
      <c r="AI21" t="e">
        <f>RTD("streambase.rtd",,"STREAM:AppOut", "FIELD:TradeDate", CONCATENATE("TUPLENUM:", ROW()-2))</f>
        <v>#N/A</v>
      </c>
    </row>
    <row r="22" spans="1:35">
      <c r="A22" t="str">
        <f>IF(B22="","",RTD("streambase.rtd",,"STREAM:AppOut", "FIELD:OrderStatus", "LOCALFILTER:AppOrdID==""" &amp; $B22 &amp; """"))</f>
        <v/>
      </c>
      <c r="B22" s="15" t="str">
        <f>IF(E22="","",VLOOKUP(E22,Params!O:P,2,FALSE)&amp;"_"&amp;VLOOKUP(F22,Params!R:S,2,FALSE)&amp;"_"&amp;VLOOKUP(G22,Params!U:V,2,FALSE)&amp;"_"&amp;"00"&amp;ROW()-1)</f>
        <v/>
      </c>
      <c r="C22" s="6"/>
      <c r="D22" s="6"/>
      <c r="I22" s="6"/>
      <c r="L22" s="6"/>
      <c r="M22" s="6"/>
      <c r="N22" t="str">
        <f>IF(B22="","",RTD("streambase.rtd",,"STREAM:AppOut", "FIELD:CumQty", "LOCALFILTER:AppOrdID==""" &amp; $B22 &amp; """"))</f>
        <v/>
      </c>
      <c r="O22" t="str">
        <f>IF(B22="","",RTD("streambase.rtd",,"STREAM:AppOut", "FIELD:AvgPx", "LOCALFILTER:AppOrdID==""" &amp; $B22 &amp; """"))</f>
        <v/>
      </c>
      <c r="U22" t="e">
        <f>RTD("streambase.rtd",,"STREAM:AppOut", "FIELD:AppOrdID", CONCATENATE("TUPLENUM:", ROW()-2))</f>
        <v>#N/A</v>
      </c>
      <c r="V22" t="e">
        <f>RTD("streambase.rtd",,"STREAM:AppOut", "FIELD:AppCxlRplID", CONCATENATE("TUPLENUM:", ROW()-2))</f>
        <v>#N/A</v>
      </c>
      <c r="W22" t="e">
        <f>RTD("streambase.rtd",,"STREAM:AppOut", "FIELD:Symbol", CONCATENATE("TUPLENUM:", ROW()-2))</f>
        <v>#N/A</v>
      </c>
      <c r="X22" t="e">
        <f>RTD("streambase.rtd",,"STREAM:AppOut", "FIELD:OrderStatus", CONCATENATE("TUPLENUM:", ROW()-2))</f>
        <v>#N/A</v>
      </c>
      <c r="Y22" t="e">
        <f>RTD("streambase.rtd",,"STREAM:AppOut", "FIELD:BuySell", CONCATENATE("TUPLENUM:", ROW()-2))</f>
        <v>#N/A</v>
      </c>
      <c r="Z22" t="e">
        <f>RTD("streambase.rtd",,"STREAM:AppOut", "FIELD:Price", CONCATENATE("TUPLENUM:", ROW()-2))</f>
        <v>#N/A</v>
      </c>
      <c r="AA22" t="e">
        <f>RTD("streambase.rtd",,"STREAM:AppOut", "FIELD:OrderQty", CONCATENATE("TUPLENUM:", ROW()-2))</f>
        <v>#N/A</v>
      </c>
      <c r="AB22" t="e">
        <f>RTD("streambase.rtd",,"STREAM:AppOut", "FIELD:CumQty", CONCATENATE("TUPLENUM:", ROW()-2))</f>
        <v>#N/A</v>
      </c>
      <c r="AC22" t="e">
        <f>RTD("streambase.rtd",,"STREAM:AppOut", "FIELD:AvgPx", CONCATENATE("TUPLENUM:", ROW()-2))</f>
        <v>#N/A</v>
      </c>
      <c r="AD22" t="e">
        <f>RTD("streambase.rtd",,"STREAM:AppOut", "FIELD:UpdateNumber", CONCATENATE("TUPLENUM:", ROW()-2))</f>
        <v>#N/A</v>
      </c>
      <c r="AE22" s="11" t="e">
        <f>RTD("streambase.rtd",,"STREAM:AppOut", "FIELD:UpdateTime", CONCATENATE("TUPLENUM:", ROW()-2))</f>
        <v>#N/A</v>
      </c>
      <c r="AF22" t="e">
        <f>RTD("streambase.rtd",,"STREAM:AppOut", "FIELD:ReplacedbyReqID", CONCATENATE("TUPLENUM:", ROW()-2))</f>
        <v>#N/A</v>
      </c>
      <c r="AG22" t="e">
        <f>RTD("streambase.rtd",,"STREAM:AppOut", "FIELD:LeavesQty", CONCATENATE("TUPLENUM:", ROW()-2))</f>
        <v>#N/A</v>
      </c>
      <c r="AH22" t="e">
        <f>RTD("streambase.rtd",,"STREAM:AppOut", "FIELD:Account", CONCATENATE("TUPLENUM:", ROW()-2))</f>
        <v>#N/A</v>
      </c>
      <c r="AI22" t="e">
        <f>RTD("streambase.rtd",,"STREAM:AppOut", "FIELD:TradeDate", CONCATENATE("TUPLENUM:", ROW()-2))</f>
        <v>#N/A</v>
      </c>
    </row>
    <row r="23" spans="1:35">
      <c r="A23" t="str">
        <f>IF(B23="","",RTD("streambase.rtd",,"STREAM:AppOut", "FIELD:OrderStatus", "LOCALFILTER:AppOrdID==""" &amp; $B23 &amp; """"))</f>
        <v/>
      </c>
      <c r="B23" s="15" t="str">
        <f>IF(E23="","",VLOOKUP(E23,Params!O:P,2,FALSE)&amp;"_"&amp;VLOOKUP(F23,Params!R:S,2,FALSE)&amp;"_"&amp;VLOOKUP(G23,Params!U:V,2,FALSE)&amp;"_"&amp;"00"&amp;ROW()-1)</f>
        <v/>
      </c>
      <c r="C23" s="6"/>
      <c r="D23" s="6"/>
      <c r="I23" s="6"/>
      <c r="L23" s="6"/>
      <c r="M23" s="6"/>
      <c r="N23" t="str">
        <f>IF(B23="","",RTD("streambase.rtd",,"STREAM:AppOut", "FIELD:CumQty", "LOCALFILTER:AppOrdID==""" &amp; $B23 &amp; """"))</f>
        <v/>
      </c>
      <c r="O23" t="str">
        <f>IF(B23="","",RTD("streambase.rtd",,"STREAM:AppOut", "FIELD:AvgPx", "LOCALFILTER:AppOrdID==""" &amp; $B23 &amp; """"))</f>
        <v/>
      </c>
      <c r="U23" t="e">
        <f>RTD("streambase.rtd",,"STREAM:AppOut", "FIELD:AppOrdID", CONCATENATE("TUPLENUM:", ROW()-2))</f>
        <v>#N/A</v>
      </c>
      <c r="V23" t="e">
        <f>RTD("streambase.rtd",,"STREAM:AppOut", "FIELD:AppCxlRplID", CONCATENATE("TUPLENUM:", ROW()-2))</f>
        <v>#N/A</v>
      </c>
      <c r="W23" t="e">
        <f>RTD("streambase.rtd",,"STREAM:AppOut", "FIELD:Symbol", CONCATENATE("TUPLENUM:", ROW()-2))</f>
        <v>#N/A</v>
      </c>
      <c r="X23" t="e">
        <f>RTD("streambase.rtd",,"STREAM:AppOut", "FIELD:OrderStatus", CONCATENATE("TUPLENUM:", ROW()-2))</f>
        <v>#N/A</v>
      </c>
      <c r="Y23" t="e">
        <f>RTD("streambase.rtd",,"STREAM:AppOut", "FIELD:BuySell", CONCATENATE("TUPLENUM:", ROW()-2))</f>
        <v>#N/A</v>
      </c>
      <c r="Z23" t="e">
        <f>RTD("streambase.rtd",,"STREAM:AppOut", "FIELD:Price", CONCATENATE("TUPLENUM:", ROW()-2))</f>
        <v>#N/A</v>
      </c>
      <c r="AA23" t="e">
        <f>RTD("streambase.rtd",,"STREAM:AppOut", "FIELD:OrderQty", CONCATENATE("TUPLENUM:", ROW()-2))</f>
        <v>#N/A</v>
      </c>
      <c r="AB23" t="e">
        <f>RTD("streambase.rtd",,"STREAM:AppOut", "FIELD:CumQty", CONCATENATE("TUPLENUM:", ROW()-2))</f>
        <v>#N/A</v>
      </c>
      <c r="AC23" t="e">
        <f>RTD("streambase.rtd",,"STREAM:AppOut", "FIELD:AvgPx", CONCATENATE("TUPLENUM:", ROW()-2))</f>
        <v>#N/A</v>
      </c>
      <c r="AD23" t="e">
        <f>RTD("streambase.rtd",,"STREAM:AppOut", "FIELD:UpdateNumber", CONCATENATE("TUPLENUM:", ROW()-2))</f>
        <v>#N/A</v>
      </c>
      <c r="AE23" s="11" t="e">
        <f>RTD("streambase.rtd",,"STREAM:AppOut", "FIELD:UpdateTime", CONCATENATE("TUPLENUM:", ROW()-2))</f>
        <v>#N/A</v>
      </c>
      <c r="AF23" t="e">
        <f>RTD("streambase.rtd",,"STREAM:AppOut", "FIELD:ReplacedbyReqID", CONCATENATE("TUPLENUM:", ROW()-2))</f>
        <v>#N/A</v>
      </c>
      <c r="AG23" t="e">
        <f>RTD("streambase.rtd",,"STREAM:AppOut", "FIELD:LeavesQty", CONCATENATE("TUPLENUM:", ROW()-2))</f>
        <v>#N/A</v>
      </c>
      <c r="AH23" t="e">
        <f>RTD("streambase.rtd",,"STREAM:AppOut", "FIELD:Account", CONCATENATE("TUPLENUM:", ROW()-2))</f>
        <v>#N/A</v>
      </c>
      <c r="AI23" t="e">
        <f>RTD("streambase.rtd",,"STREAM:AppOut", "FIELD:TradeDate", CONCATENATE("TUPLENUM:", ROW()-2))</f>
        <v>#N/A</v>
      </c>
    </row>
    <row r="24" spans="1:35">
      <c r="A24" t="str">
        <f>IF(B24="","",RTD("streambase.rtd",,"STREAM:AppOut", "FIELD:OrderStatus", "LOCALFILTER:AppOrdID==""" &amp; $B24 &amp; """"))</f>
        <v/>
      </c>
      <c r="B24" s="15" t="str">
        <f>IF(E24="","",VLOOKUP(E24,Params!O:P,2,FALSE)&amp;"_"&amp;VLOOKUP(F24,Params!R:S,2,FALSE)&amp;"_"&amp;VLOOKUP(G24,Params!U:V,2,FALSE)&amp;"_"&amp;"00"&amp;ROW()-1)</f>
        <v/>
      </c>
      <c r="C24" s="6"/>
      <c r="D24" s="6"/>
      <c r="I24" s="6"/>
      <c r="L24" s="6"/>
      <c r="M24" s="6"/>
      <c r="N24" t="str">
        <f>IF(B24="","",RTD("streambase.rtd",,"STREAM:AppOut", "FIELD:CumQty", "LOCALFILTER:AppOrdID==""" &amp; $B24 &amp; """"))</f>
        <v/>
      </c>
      <c r="O24" t="str">
        <f>IF(B24="","",RTD("streambase.rtd",,"STREAM:AppOut", "FIELD:AvgPx", "LOCALFILTER:AppOrdID==""" &amp; $B24 &amp; """"))</f>
        <v/>
      </c>
      <c r="U24" t="e">
        <f>RTD("streambase.rtd",,"STREAM:AppOut", "FIELD:AppOrdID", CONCATENATE("TUPLENUM:", ROW()-2))</f>
        <v>#N/A</v>
      </c>
      <c r="V24" t="e">
        <f>RTD("streambase.rtd",,"STREAM:AppOut", "FIELD:AppCxlRplID", CONCATENATE("TUPLENUM:", ROW()-2))</f>
        <v>#N/A</v>
      </c>
      <c r="W24" t="e">
        <f>RTD("streambase.rtd",,"STREAM:AppOut", "FIELD:Symbol", CONCATENATE("TUPLENUM:", ROW()-2))</f>
        <v>#N/A</v>
      </c>
      <c r="X24" t="e">
        <f>RTD("streambase.rtd",,"STREAM:AppOut", "FIELD:OrderStatus", CONCATENATE("TUPLENUM:", ROW()-2))</f>
        <v>#N/A</v>
      </c>
      <c r="Y24" t="e">
        <f>RTD("streambase.rtd",,"STREAM:AppOut", "FIELD:BuySell", CONCATENATE("TUPLENUM:", ROW()-2))</f>
        <v>#N/A</v>
      </c>
      <c r="Z24" t="e">
        <f>RTD("streambase.rtd",,"STREAM:AppOut", "FIELD:Price", CONCATENATE("TUPLENUM:", ROW()-2))</f>
        <v>#N/A</v>
      </c>
      <c r="AA24" t="e">
        <f>RTD("streambase.rtd",,"STREAM:AppOut", "FIELD:OrderQty", CONCATENATE("TUPLENUM:", ROW()-2))</f>
        <v>#N/A</v>
      </c>
      <c r="AB24" t="e">
        <f>RTD("streambase.rtd",,"STREAM:AppOut", "FIELD:CumQty", CONCATENATE("TUPLENUM:", ROW()-2))</f>
        <v>#N/A</v>
      </c>
      <c r="AC24" t="e">
        <f>RTD("streambase.rtd",,"STREAM:AppOut", "FIELD:AvgPx", CONCATENATE("TUPLENUM:", ROW()-2))</f>
        <v>#N/A</v>
      </c>
      <c r="AD24" t="e">
        <f>RTD("streambase.rtd",,"STREAM:AppOut", "FIELD:UpdateNumber", CONCATENATE("TUPLENUM:", ROW()-2))</f>
        <v>#N/A</v>
      </c>
      <c r="AE24" s="11" t="e">
        <f>RTD("streambase.rtd",,"STREAM:AppOut", "FIELD:UpdateTime", CONCATENATE("TUPLENUM:", ROW()-2))</f>
        <v>#N/A</v>
      </c>
      <c r="AF24" t="e">
        <f>RTD("streambase.rtd",,"STREAM:AppOut", "FIELD:ReplacedbyReqID", CONCATENATE("TUPLENUM:", ROW()-2))</f>
        <v>#N/A</v>
      </c>
      <c r="AG24" t="e">
        <f>RTD("streambase.rtd",,"STREAM:AppOut", "FIELD:LeavesQty", CONCATENATE("TUPLENUM:", ROW()-2))</f>
        <v>#N/A</v>
      </c>
      <c r="AH24" t="e">
        <f>RTD("streambase.rtd",,"STREAM:AppOut", "FIELD:Account", CONCATENATE("TUPLENUM:", ROW()-2))</f>
        <v>#N/A</v>
      </c>
      <c r="AI24" t="e">
        <f>RTD("streambase.rtd",,"STREAM:AppOut", "FIELD:TradeDate", CONCATENATE("TUPLENUM:", ROW()-2))</f>
        <v>#N/A</v>
      </c>
    </row>
    <row r="25" spans="1:35">
      <c r="A25" t="str">
        <f>IF(B25="","",RTD("streambase.rtd",,"STREAM:AppOut", "FIELD:OrderStatus", "LOCALFILTER:AppOrdID==""" &amp; $B25 &amp; """"))</f>
        <v/>
      </c>
      <c r="B25" s="15" t="str">
        <f>IF(E25="","",VLOOKUP(E25,Params!O:P,2,FALSE)&amp;"_"&amp;VLOOKUP(F25,Params!R:S,2,FALSE)&amp;"_"&amp;VLOOKUP(G25,Params!U:V,2,FALSE)&amp;"_"&amp;"00"&amp;ROW()-1)</f>
        <v/>
      </c>
      <c r="C25" s="6"/>
      <c r="D25" s="6"/>
      <c r="I25" s="6"/>
      <c r="L25" s="6"/>
      <c r="M25" s="6"/>
      <c r="N25" t="str">
        <f>IF(B25="","",RTD("streambase.rtd",,"STREAM:AppOut", "FIELD:CumQty", "LOCALFILTER:AppOrdID==""" &amp; $B25 &amp; """"))</f>
        <v/>
      </c>
      <c r="O25" t="str">
        <f>IF(B25="","",RTD("streambase.rtd",,"STREAM:AppOut", "FIELD:AvgPx", "LOCALFILTER:AppOrdID==""" &amp; $B25 &amp; """"))</f>
        <v/>
      </c>
      <c r="U25" t="e">
        <f>RTD("streambase.rtd",,"STREAM:AppOut", "FIELD:AppOrdID", CONCATENATE("TUPLENUM:", ROW()-2))</f>
        <v>#N/A</v>
      </c>
      <c r="V25" t="e">
        <f>RTD("streambase.rtd",,"STREAM:AppOut", "FIELD:AppCxlRplID", CONCATENATE("TUPLENUM:", ROW()-2))</f>
        <v>#N/A</v>
      </c>
      <c r="W25" t="e">
        <f>RTD("streambase.rtd",,"STREAM:AppOut", "FIELD:Symbol", CONCATENATE("TUPLENUM:", ROW()-2))</f>
        <v>#N/A</v>
      </c>
      <c r="X25" t="e">
        <f>RTD("streambase.rtd",,"STREAM:AppOut", "FIELD:OrderStatus", CONCATENATE("TUPLENUM:", ROW()-2))</f>
        <v>#N/A</v>
      </c>
      <c r="Y25" t="e">
        <f>RTD("streambase.rtd",,"STREAM:AppOut", "FIELD:BuySell", CONCATENATE("TUPLENUM:", ROW()-2))</f>
        <v>#N/A</v>
      </c>
      <c r="Z25" t="e">
        <f>RTD("streambase.rtd",,"STREAM:AppOut", "FIELD:Price", CONCATENATE("TUPLENUM:", ROW()-2))</f>
        <v>#N/A</v>
      </c>
      <c r="AA25" t="e">
        <f>RTD("streambase.rtd",,"STREAM:AppOut", "FIELD:OrderQty", CONCATENATE("TUPLENUM:", ROW()-2))</f>
        <v>#N/A</v>
      </c>
      <c r="AB25" t="e">
        <f>RTD("streambase.rtd",,"STREAM:AppOut", "FIELD:CumQty", CONCATENATE("TUPLENUM:", ROW()-2))</f>
        <v>#N/A</v>
      </c>
      <c r="AC25" t="e">
        <f>RTD("streambase.rtd",,"STREAM:AppOut", "FIELD:AvgPx", CONCATENATE("TUPLENUM:", ROW()-2))</f>
        <v>#N/A</v>
      </c>
      <c r="AD25" t="e">
        <f>RTD("streambase.rtd",,"STREAM:AppOut", "FIELD:UpdateNumber", CONCATENATE("TUPLENUM:", ROW()-2))</f>
        <v>#N/A</v>
      </c>
      <c r="AE25" s="11" t="e">
        <f>RTD("streambase.rtd",,"STREAM:AppOut", "FIELD:UpdateTime", CONCATENATE("TUPLENUM:", ROW()-2))</f>
        <v>#N/A</v>
      </c>
      <c r="AF25" t="e">
        <f>RTD("streambase.rtd",,"STREAM:AppOut", "FIELD:ReplacedbyReqID", CONCATENATE("TUPLENUM:", ROW()-2))</f>
        <v>#N/A</v>
      </c>
      <c r="AG25" t="e">
        <f>RTD("streambase.rtd",,"STREAM:AppOut", "FIELD:LeavesQty", CONCATENATE("TUPLENUM:", ROW()-2))</f>
        <v>#N/A</v>
      </c>
      <c r="AH25" t="e">
        <f>RTD("streambase.rtd",,"STREAM:AppOut", "FIELD:Account", CONCATENATE("TUPLENUM:", ROW()-2))</f>
        <v>#N/A</v>
      </c>
      <c r="AI25" t="e">
        <f>RTD("streambase.rtd",,"STREAM:AppOut", "FIELD:TradeDate", CONCATENATE("TUPLENUM:", ROW()-2))</f>
        <v>#N/A</v>
      </c>
    </row>
    <row r="26" spans="1:35">
      <c r="A26" t="str">
        <f>IF(B26="","",RTD("streambase.rtd",,"STREAM:AppOut", "FIELD:OrderStatus", "LOCALFILTER:AppOrdID==""" &amp; $B26 &amp; """"))</f>
        <v/>
      </c>
      <c r="B26" s="15" t="str">
        <f>IF(E26="","",VLOOKUP(E26,Params!O:P,2,FALSE)&amp;"_"&amp;VLOOKUP(F26,Params!R:S,2,FALSE)&amp;"_"&amp;VLOOKUP(G26,Params!U:V,2,FALSE)&amp;"_"&amp;"00"&amp;ROW()-1)</f>
        <v/>
      </c>
      <c r="C26" s="6"/>
      <c r="D26" s="6"/>
      <c r="I26" s="6"/>
      <c r="L26" s="6"/>
      <c r="M26" s="6"/>
      <c r="N26" t="str">
        <f>IF(B26="","",RTD("streambase.rtd",,"STREAM:AppOut", "FIELD:CumQty", "LOCALFILTER:AppOrdID==""" &amp; $B26 &amp; """"))</f>
        <v/>
      </c>
      <c r="O26" t="str">
        <f>IF(B26="","",RTD("streambase.rtd",,"STREAM:AppOut", "FIELD:AvgPx", "LOCALFILTER:AppOrdID==""" &amp; $B26 &amp; """"))</f>
        <v/>
      </c>
      <c r="U26" t="e">
        <f>RTD("streambase.rtd",,"STREAM:AppOut", "FIELD:AppOrdID", CONCATENATE("TUPLENUM:", ROW()-2))</f>
        <v>#N/A</v>
      </c>
      <c r="V26" t="e">
        <f>RTD("streambase.rtd",,"STREAM:AppOut", "FIELD:AppCxlRplID", CONCATENATE("TUPLENUM:", ROW()-2))</f>
        <v>#N/A</v>
      </c>
      <c r="W26" t="e">
        <f>RTD("streambase.rtd",,"STREAM:AppOut", "FIELD:Symbol", CONCATENATE("TUPLENUM:", ROW()-2))</f>
        <v>#N/A</v>
      </c>
      <c r="X26" t="e">
        <f>RTD("streambase.rtd",,"STREAM:AppOut", "FIELD:OrderStatus", CONCATENATE("TUPLENUM:", ROW()-2))</f>
        <v>#N/A</v>
      </c>
      <c r="Y26" t="e">
        <f>RTD("streambase.rtd",,"STREAM:AppOut", "FIELD:BuySell", CONCATENATE("TUPLENUM:", ROW()-2))</f>
        <v>#N/A</v>
      </c>
      <c r="Z26" t="e">
        <f>RTD("streambase.rtd",,"STREAM:AppOut", "FIELD:Price", CONCATENATE("TUPLENUM:", ROW()-2))</f>
        <v>#N/A</v>
      </c>
      <c r="AA26" t="e">
        <f>RTD("streambase.rtd",,"STREAM:AppOut", "FIELD:OrderQty", CONCATENATE("TUPLENUM:", ROW()-2))</f>
        <v>#N/A</v>
      </c>
      <c r="AB26" t="e">
        <f>RTD("streambase.rtd",,"STREAM:AppOut", "FIELD:CumQty", CONCATENATE("TUPLENUM:", ROW()-2))</f>
        <v>#N/A</v>
      </c>
      <c r="AC26" t="e">
        <f>RTD("streambase.rtd",,"STREAM:AppOut", "FIELD:AvgPx", CONCATENATE("TUPLENUM:", ROW()-2))</f>
        <v>#N/A</v>
      </c>
      <c r="AD26" t="e">
        <f>RTD("streambase.rtd",,"STREAM:AppOut", "FIELD:UpdateNumber", CONCATENATE("TUPLENUM:", ROW()-2))</f>
        <v>#N/A</v>
      </c>
      <c r="AE26" s="11" t="e">
        <f>RTD("streambase.rtd",,"STREAM:AppOut", "FIELD:UpdateTime", CONCATENATE("TUPLENUM:", ROW()-2))</f>
        <v>#N/A</v>
      </c>
      <c r="AF26" t="e">
        <f>RTD("streambase.rtd",,"STREAM:AppOut", "FIELD:ReplacedbyReqID", CONCATENATE("TUPLENUM:", ROW()-2))</f>
        <v>#N/A</v>
      </c>
      <c r="AG26" t="e">
        <f>RTD("streambase.rtd",,"STREAM:AppOut", "FIELD:LeavesQty", CONCATENATE("TUPLENUM:", ROW()-2))</f>
        <v>#N/A</v>
      </c>
      <c r="AH26" t="e">
        <f>RTD("streambase.rtd",,"STREAM:AppOut", "FIELD:Account", CONCATENATE("TUPLENUM:", ROW()-2))</f>
        <v>#N/A</v>
      </c>
      <c r="AI26" t="e">
        <f>RTD("streambase.rtd",,"STREAM:AppOut", "FIELD:TradeDate", CONCATENATE("TUPLENUM:", ROW()-2))</f>
        <v>#N/A</v>
      </c>
    </row>
    <row r="27" spans="1:35">
      <c r="A27" t="str">
        <f>IF(B27="","",RTD("streambase.rtd",,"STREAM:AppOut", "FIELD:OrderStatus", "LOCALFILTER:AppOrdID==""" &amp; $B27 &amp; """"))</f>
        <v/>
      </c>
      <c r="B27" s="15" t="str">
        <f>IF(E27="","",VLOOKUP(E27,Params!O:P,2,FALSE)&amp;"_"&amp;VLOOKUP(F27,Params!R:S,2,FALSE)&amp;"_"&amp;VLOOKUP(G27,Params!U:V,2,FALSE)&amp;"_"&amp;"00"&amp;ROW()-1)</f>
        <v/>
      </c>
      <c r="C27" s="6"/>
      <c r="D27" s="6"/>
      <c r="I27" s="6"/>
      <c r="L27" s="6"/>
      <c r="M27" s="6"/>
      <c r="N27" t="str">
        <f>IF(B27="","",RTD("streambase.rtd",,"STREAM:AppOut", "FIELD:CumQty", "LOCALFILTER:AppOrdID==""" &amp; $B27 &amp; """"))</f>
        <v/>
      </c>
      <c r="O27" t="str">
        <f>IF(B27="","",RTD("streambase.rtd",,"STREAM:AppOut", "FIELD:AvgPx", "LOCALFILTER:AppOrdID==""" &amp; $B27 &amp; """"))</f>
        <v/>
      </c>
      <c r="U27" t="e">
        <f>RTD("streambase.rtd",,"STREAM:AppOut", "FIELD:AppOrdID", CONCATENATE("TUPLENUM:", ROW()-2))</f>
        <v>#N/A</v>
      </c>
      <c r="V27" t="e">
        <f>RTD("streambase.rtd",,"STREAM:AppOut", "FIELD:AppCxlRplID", CONCATENATE("TUPLENUM:", ROW()-2))</f>
        <v>#N/A</v>
      </c>
      <c r="W27" t="e">
        <f>RTD("streambase.rtd",,"STREAM:AppOut", "FIELD:Symbol", CONCATENATE("TUPLENUM:", ROW()-2))</f>
        <v>#N/A</v>
      </c>
      <c r="X27" t="e">
        <f>RTD("streambase.rtd",,"STREAM:AppOut", "FIELD:OrderStatus", CONCATENATE("TUPLENUM:", ROW()-2))</f>
        <v>#N/A</v>
      </c>
      <c r="Y27" t="e">
        <f>RTD("streambase.rtd",,"STREAM:AppOut", "FIELD:BuySell", CONCATENATE("TUPLENUM:", ROW()-2))</f>
        <v>#N/A</v>
      </c>
      <c r="Z27" t="e">
        <f>RTD("streambase.rtd",,"STREAM:AppOut", "FIELD:Price", CONCATENATE("TUPLENUM:", ROW()-2))</f>
        <v>#N/A</v>
      </c>
      <c r="AA27" t="e">
        <f>RTD("streambase.rtd",,"STREAM:AppOut", "FIELD:OrderQty", CONCATENATE("TUPLENUM:", ROW()-2))</f>
        <v>#N/A</v>
      </c>
      <c r="AB27" t="e">
        <f>RTD("streambase.rtd",,"STREAM:AppOut", "FIELD:CumQty", CONCATENATE("TUPLENUM:", ROW()-2))</f>
        <v>#N/A</v>
      </c>
      <c r="AC27" t="e">
        <f>RTD("streambase.rtd",,"STREAM:AppOut", "FIELD:AvgPx", CONCATENATE("TUPLENUM:", ROW()-2))</f>
        <v>#N/A</v>
      </c>
      <c r="AD27" t="e">
        <f>RTD("streambase.rtd",,"STREAM:AppOut", "FIELD:UpdateNumber", CONCATENATE("TUPLENUM:", ROW()-2))</f>
        <v>#N/A</v>
      </c>
      <c r="AE27" s="11" t="e">
        <f>RTD("streambase.rtd",,"STREAM:AppOut", "FIELD:UpdateTime", CONCATENATE("TUPLENUM:", ROW()-2))</f>
        <v>#N/A</v>
      </c>
      <c r="AF27" t="e">
        <f>RTD("streambase.rtd",,"STREAM:AppOut", "FIELD:ReplacedbyReqID", CONCATENATE("TUPLENUM:", ROW()-2))</f>
        <v>#N/A</v>
      </c>
      <c r="AG27" t="e">
        <f>RTD("streambase.rtd",,"STREAM:AppOut", "FIELD:LeavesQty", CONCATENATE("TUPLENUM:", ROW()-2))</f>
        <v>#N/A</v>
      </c>
      <c r="AH27" t="e">
        <f>RTD("streambase.rtd",,"STREAM:AppOut", "FIELD:Account", CONCATENATE("TUPLENUM:", ROW()-2))</f>
        <v>#N/A</v>
      </c>
      <c r="AI27" t="e">
        <f>RTD("streambase.rtd",,"STREAM:AppOut", "FIELD:TradeDate", CONCATENATE("TUPLENUM:", ROW()-2))</f>
        <v>#N/A</v>
      </c>
    </row>
    <row r="28" spans="1:35">
      <c r="A28" t="str">
        <f>IF(B28="","",RTD("streambase.rtd",,"STREAM:AppOut", "FIELD:OrderStatus", "LOCALFILTER:AppOrdID==""" &amp; $B28 &amp; """"))</f>
        <v/>
      </c>
      <c r="B28" s="15" t="str">
        <f>IF(E28="","",VLOOKUP(E28,Params!O:P,2,FALSE)&amp;"_"&amp;VLOOKUP(F28,Params!R:S,2,FALSE)&amp;"_"&amp;VLOOKUP(G28,Params!U:V,2,FALSE)&amp;"_"&amp;"00"&amp;ROW()-1)</f>
        <v/>
      </c>
      <c r="C28" s="6"/>
      <c r="D28" s="6"/>
      <c r="H28" s="6"/>
      <c r="I28" s="6"/>
      <c r="L28" s="6"/>
      <c r="M28" s="6"/>
      <c r="N28" t="str">
        <f>IF(B28="","",RTD("streambase.rtd",,"STREAM:AppOut", "FIELD:CumQty", "LOCALFILTER:AppOrdID==""" &amp; $B28 &amp; """"))</f>
        <v/>
      </c>
      <c r="O28" t="str">
        <f>IF(B28="","",RTD("streambase.rtd",,"STREAM:AppOut", "FIELD:AvgPx", "LOCALFILTER:AppOrdID==""" &amp; $B28 &amp; """"))</f>
        <v/>
      </c>
      <c r="U28" t="e">
        <f>RTD("streambase.rtd",,"STREAM:AppOut", "FIELD:AppOrdID", CONCATENATE("TUPLENUM:", ROW()-2))</f>
        <v>#N/A</v>
      </c>
      <c r="V28" t="e">
        <f>RTD("streambase.rtd",,"STREAM:AppOut", "FIELD:AppCxlRplID", CONCATENATE("TUPLENUM:", ROW()-2))</f>
        <v>#N/A</v>
      </c>
      <c r="W28" t="e">
        <f>RTD("streambase.rtd",,"STREAM:AppOut", "FIELD:Symbol", CONCATENATE("TUPLENUM:", ROW()-2))</f>
        <v>#N/A</v>
      </c>
      <c r="X28" t="e">
        <f>RTD("streambase.rtd",,"STREAM:AppOut", "FIELD:OrderStatus", CONCATENATE("TUPLENUM:", ROW()-2))</f>
        <v>#N/A</v>
      </c>
      <c r="Y28" t="e">
        <f>RTD("streambase.rtd",,"STREAM:AppOut", "FIELD:BuySell", CONCATENATE("TUPLENUM:", ROW()-2))</f>
        <v>#N/A</v>
      </c>
      <c r="Z28" t="e">
        <f>RTD("streambase.rtd",,"STREAM:AppOut", "FIELD:Price", CONCATENATE("TUPLENUM:", ROW()-2))</f>
        <v>#N/A</v>
      </c>
      <c r="AA28" t="e">
        <f>RTD("streambase.rtd",,"STREAM:AppOut", "FIELD:OrderQty", CONCATENATE("TUPLENUM:", ROW()-2))</f>
        <v>#N/A</v>
      </c>
      <c r="AB28" t="e">
        <f>RTD("streambase.rtd",,"STREAM:AppOut", "FIELD:CumQty", CONCATENATE("TUPLENUM:", ROW()-2))</f>
        <v>#N/A</v>
      </c>
      <c r="AC28" t="e">
        <f>RTD("streambase.rtd",,"STREAM:AppOut", "FIELD:AvgPx", CONCATENATE("TUPLENUM:", ROW()-2))</f>
        <v>#N/A</v>
      </c>
      <c r="AD28" t="e">
        <f>RTD("streambase.rtd",,"STREAM:AppOut", "FIELD:UpdateNumber", CONCATENATE("TUPLENUM:", ROW()-2))</f>
        <v>#N/A</v>
      </c>
      <c r="AE28" s="11" t="e">
        <f>RTD("streambase.rtd",,"STREAM:AppOut", "FIELD:UpdateTime", CONCATENATE("TUPLENUM:", ROW()-2))</f>
        <v>#N/A</v>
      </c>
      <c r="AF28" t="e">
        <f>RTD("streambase.rtd",,"STREAM:AppOut", "FIELD:ReplacedbyReqID", CONCATENATE("TUPLENUM:", ROW()-2))</f>
        <v>#N/A</v>
      </c>
      <c r="AG28" t="e">
        <f>RTD("streambase.rtd",,"STREAM:AppOut", "FIELD:LeavesQty", CONCATENATE("TUPLENUM:", ROW()-2))</f>
        <v>#N/A</v>
      </c>
      <c r="AH28" t="e">
        <f>RTD("streambase.rtd",,"STREAM:AppOut", "FIELD:Account", CONCATENATE("TUPLENUM:", ROW()-2))</f>
        <v>#N/A</v>
      </c>
      <c r="AI28" t="e">
        <f>RTD("streambase.rtd",,"STREAM:AppOut", "FIELD:TradeDate", CONCATENATE("TUPLENUM:", ROW()-2))</f>
        <v>#N/A</v>
      </c>
    </row>
    <row r="29" spans="1:35">
      <c r="A29" t="str">
        <f>IF(B29="","",RTD("streambase.rtd",,"STREAM:AppOut", "FIELD:OrderStatus", "LOCALFILTER:AppOrdID==""" &amp; $B29 &amp; """"))</f>
        <v/>
      </c>
      <c r="B29" s="15" t="str">
        <f>IF(E29="","",VLOOKUP(E29,Params!O:P,2,FALSE)&amp;"_"&amp;VLOOKUP(F29,Params!R:S,2,FALSE)&amp;"_"&amp;VLOOKUP(G29,Params!U:V,2,FALSE)&amp;"_"&amp;"00"&amp;ROW()-1)</f>
        <v/>
      </c>
      <c r="C29" s="6"/>
      <c r="D29" s="6"/>
      <c r="H29" s="6"/>
      <c r="I29" s="6"/>
      <c r="L29" s="6"/>
      <c r="M29" s="6"/>
      <c r="N29" t="str">
        <f>IF(B29="","",RTD("streambase.rtd",,"STREAM:AppOut", "FIELD:CumQty", "LOCALFILTER:AppOrdID==""" &amp; $B29 &amp; """"))</f>
        <v/>
      </c>
      <c r="O29" t="str">
        <f>IF(B29="","",RTD("streambase.rtd",,"STREAM:AppOut", "FIELD:AvgPx", "LOCALFILTER:AppOrdID==""" &amp; $B29 &amp; """"))</f>
        <v/>
      </c>
      <c r="U29" t="e">
        <f>RTD("streambase.rtd",,"STREAM:AppOut", "FIELD:AppOrdID", CONCATENATE("TUPLENUM:", ROW()-2))</f>
        <v>#N/A</v>
      </c>
      <c r="V29" t="e">
        <f>RTD("streambase.rtd",,"STREAM:AppOut", "FIELD:AppCxlRplID", CONCATENATE("TUPLENUM:", ROW()-2))</f>
        <v>#N/A</v>
      </c>
      <c r="W29" t="e">
        <f>RTD("streambase.rtd",,"STREAM:AppOut", "FIELD:Symbol", CONCATENATE("TUPLENUM:", ROW()-2))</f>
        <v>#N/A</v>
      </c>
      <c r="X29" t="e">
        <f>RTD("streambase.rtd",,"STREAM:AppOut", "FIELD:OrderStatus", CONCATENATE("TUPLENUM:", ROW()-2))</f>
        <v>#N/A</v>
      </c>
      <c r="Y29" t="e">
        <f>RTD("streambase.rtd",,"STREAM:AppOut", "FIELD:BuySell", CONCATENATE("TUPLENUM:", ROW()-2))</f>
        <v>#N/A</v>
      </c>
      <c r="Z29" t="e">
        <f>RTD("streambase.rtd",,"STREAM:AppOut", "FIELD:Price", CONCATENATE("TUPLENUM:", ROW()-2))</f>
        <v>#N/A</v>
      </c>
      <c r="AA29" t="e">
        <f>RTD("streambase.rtd",,"STREAM:AppOut", "FIELD:OrderQty", CONCATENATE("TUPLENUM:", ROW()-2))</f>
        <v>#N/A</v>
      </c>
      <c r="AB29" t="e">
        <f>RTD("streambase.rtd",,"STREAM:AppOut", "FIELD:CumQty", CONCATENATE("TUPLENUM:", ROW()-2))</f>
        <v>#N/A</v>
      </c>
      <c r="AC29" t="e">
        <f>RTD("streambase.rtd",,"STREAM:AppOut", "FIELD:AvgPx", CONCATENATE("TUPLENUM:", ROW()-2))</f>
        <v>#N/A</v>
      </c>
      <c r="AD29" t="e">
        <f>RTD("streambase.rtd",,"STREAM:AppOut", "FIELD:UpdateNumber", CONCATENATE("TUPLENUM:", ROW()-2))</f>
        <v>#N/A</v>
      </c>
      <c r="AE29" s="11" t="e">
        <f>RTD("streambase.rtd",,"STREAM:AppOut", "FIELD:UpdateTime", CONCATENATE("TUPLENUM:", ROW()-2))</f>
        <v>#N/A</v>
      </c>
      <c r="AF29" t="e">
        <f>RTD("streambase.rtd",,"STREAM:AppOut", "FIELD:ReplacedbyReqID", CONCATENATE("TUPLENUM:", ROW()-2))</f>
        <v>#N/A</v>
      </c>
      <c r="AG29" t="e">
        <f>RTD("streambase.rtd",,"STREAM:AppOut", "FIELD:LeavesQty", CONCATENATE("TUPLENUM:", ROW()-2))</f>
        <v>#N/A</v>
      </c>
      <c r="AH29" t="e">
        <f>RTD("streambase.rtd",,"STREAM:AppOut", "FIELD:Account", CONCATENATE("TUPLENUM:", ROW()-2))</f>
        <v>#N/A</v>
      </c>
      <c r="AI29" t="e">
        <f>RTD("streambase.rtd",,"STREAM:AppOut", "FIELD:TradeDate", CONCATENATE("TUPLENUM:", ROW()-2))</f>
        <v>#N/A</v>
      </c>
    </row>
    <row r="30" spans="1:35">
      <c r="A30" t="str">
        <f>IF(B30="","",RTD("streambase.rtd",,"STREAM:AppOut", "FIELD:OrderStatus", "LOCALFILTER:AppOrdID==""" &amp; $B30 &amp; """"))</f>
        <v/>
      </c>
      <c r="B30" s="15" t="str">
        <f>IF(E30="","",VLOOKUP(E30,Params!O:P,2,FALSE)&amp;"_"&amp;VLOOKUP(F30,Params!R:S,2,FALSE)&amp;"_"&amp;VLOOKUP(G30,Params!U:V,2,FALSE)&amp;"_"&amp;"00"&amp;ROW()-1)</f>
        <v/>
      </c>
      <c r="C30" s="6"/>
      <c r="D30" s="6"/>
      <c r="H30" s="6"/>
      <c r="I30" s="6"/>
      <c r="L30" s="6"/>
      <c r="M30" s="6"/>
      <c r="N30" t="str">
        <f>IF(B30="","",RTD("streambase.rtd",,"STREAM:AppOut", "FIELD:CumQty", "LOCALFILTER:AppOrdID==""" &amp; $B30 &amp; """"))</f>
        <v/>
      </c>
      <c r="O30" t="str">
        <f>IF(B30="","",RTD("streambase.rtd",,"STREAM:AppOut", "FIELD:AvgPx", "LOCALFILTER:AppOrdID==""" &amp; $B30 &amp; """"))</f>
        <v/>
      </c>
      <c r="U30" t="e">
        <f>RTD("streambase.rtd",,"STREAM:AppOut", "FIELD:AppOrdID", CONCATENATE("TUPLENUM:", ROW()-2))</f>
        <v>#N/A</v>
      </c>
      <c r="V30" t="e">
        <f>RTD("streambase.rtd",,"STREAM:AppOut", "FIELD:AppCxlRplID", CONCATENATE("TUPLENUM:", ROW()-2))</f>
        <v>#N/A</v>
      </c>
      <c r="W30" t="e">
        <f>RTD("streambase.rtd",,"STREAM:AppOut", "FIELD:Symbol", CONCATENATE("TUPLENUM:", ROW()-2))</f>
        <v>#N/A</v>
      </c>
      <c r="X30" t="e">
        <f>RTD("streambase.rtd",,"STREAM:AppOut", "FIELD:OrderStatus", CONCATENATE("TUPLENUM:", ROW()-2))</f>
        <v>#N/A</v>
      </c>
      <c r="Y30" t="e">
        <f>RTD("streambase.rtd",,"STREAM:AppOut", "FIELD:BuySell", CONCATENATE("TUPLENUM:", ROW()-2))</f>
        <v>#N/A</v>
      </c>
      <c r="Z30" t="e">
        <f>RTD("streambase.rtd",,"STREAM:AppOut", "FIELD:Price", CONCATENATE("TUPLENUM:", ROW()-2))</f>
        <v>#N/A</v>
      </c>
      <c r="AA30" t="e">
        <f>RTD("streambase.rtd",,"STREAM:AppOut", "FIELD:OrderQty", CONCATENATE("TUPLENUM:", ROW()-2))</f>
        <v>#N/A</v>
      </c>
      <c r="AB30" t="e">
        <f>RTD("streambase.rtd",,"STREAM:AppOut", "FIELD:CumQty", CONCATENATE("TUPLENUM:", ROW()-2))</f>
        <v>#N/A</v>
      </c>
      <c r="AC30" t="e">
        <f>RTD("streambase.rtd",,"STREAM:AppOut", "FIELD:AvgPx", CONCATENATE("TUPLENUM:", ROW()-2))</f>
        <v>#N/A</v>
      </c>
      <c r="AD30" t="e">
        <f>RTD("streambase.rtd",,"STREAM:AppOut", "FIELD:UpdateNumber", CONCATENATE("TUPLENUM:", ROW()-2))</f>
        <v>#N/A</v>
      </c>
      <c r="AE30" s="11" t="e">
        <f>RTD("streambase.rtd",,"STREAM:AppOut", "FIELD:UpdateTime", CONCATENATE("TUPLENUM:", ROW()-2))</f>
        <v>#N/A</v>
      </c>
      <c r="AF30" t="e">
        <f>RTD("streambase.rtd",,"STREAM:AppOut", "FIELD:ReplacedbyReqID", CONCATENATE("TUPLENUM:", ROW()-2))</f>
        <v>#N/A</v>
      </c>
      <c r="AG30" t="e">
        <f>RTD("streambase.rtd",,"STREAM:AppOut", "FIELD:LeavesQty", CONCATENATE("TUPLENUM:", ROW()-2))</f>
        <v>#N/A</v>
      </c>
      <c r="AH30" t="e">
        <f>RTD("streambase.rtd",,"STREAM:AppOut", "FIELD:Account", CONCATENATE("TUPLENUM:", ROW()-2))</f>
        <v>#N/A</v>
      </c>
      <c r="AI30" t="e">
        <f>RTD("streambase.rtd",,"STREAM:AppOut", "FIELD:TradeDate", CONCATENATE("TUPLENUM:", ROW()-2))</f>
        <v>#N/A</v>
      </c>
    </row>
    <row r="31" spans="1:35">
      <c r="A31" t="str">
        <f>IF(B31="","",RTD("streambase.rtd",,"STREAM:AppOut", "FIELD:OrderStatus", "LOCALFILTER:AppOrdID==""" &amp; $B31 &amp; """"))</f>
        <v/>
      </c>
      <c r="B31" s="15" t="str">
        <f>IF(E31="","",VLOOKUP(E31,Params!O:P,2,FALSE)&amp;"_"&amp;VLOOKUP(F31,Params!R:S,2,FALSE)&amp;"_"&amp;VLOOKUP(G31,Params!U:V,2,FALSE)&amp;"_"&amp;"00"&amp;ROW()-1)</f>
        <v/>
      </c>
      <c r="C31" s="6"/>
      <c r="D31" s="6"/>
      <c r="H31" s="6"/>
      <c r="I31" s="6"/>
      <c r="L31" s="6"/>
      <c r="M31" s="6"/>
      <c r="N31" t="str">
        <f>IF(B31="","",RTD("streambase.rtd",,"STREAM:AppOut", "FIELD:CumQty", "LOCALFILTER:AppOrdID==""" &amp; $B31 &amp; """"))</f>
        <v/>
      </c>
      <c r="O31" t="str">
        <f>IF(B31="","",RTD("streambase.rtd",,"STREAM:AppOut", "FIELD:AvgPx", "LOCALFILTER:AppOrdID==""" &amp; $B31 &amp; """"))</f>
        <v/>
      </c>
      <c r="U31" t="e">
        <f>RTD("streambase.rtd",,"STREAM:AppOut", "FIELD:AppOrdID", CONCATENATE("TUPLENUM:", ROW()-2))</f>
        <v>#N/A</v>
      </c>
      <c r="V31" t="e">
        <f>RTD("streambase.rtd",,"STREAM:AppOut", "FIELD:AppCxlRplID", CONCATENATE("TUPLENUM:", ROW()-2))</f>
        <v>#N/A</v>
      </c>
      <c r="W31" t="e">
        <f>RTD("streambase.rtd",,"STREAM:AppOut", "FIELD:Symbol", CONCATENATE("TUPLENUM:", ROW()-2))</f>
        <v>#N/A</v>
      </c>
      <c r="X31" t="e">
        <f>RTD("streambase.rtd",,"STREAM:AppOut", "FIELD:OrderStatus", CONCATENATE("TUPLENUM:", ROW()-2))</f>
        <v>#N/A</v>
      </c>
      <c r="Y31" t="e">
        <f>RTD("streambase.rtd",,"STREAM:AppOut", "FIELD:BuySell", CONCATENATE("TUPLENUM:", ROW()-2))</f>
        <v>#N/A</v>
      </c>
      <c r="Z31" t="e">
        <f>RTD("streambase.rtd",,"STREAM:AppOut", "FIELD:Price", CONCATENATE("TUPLENUM:", ROW()-2))</f>
        <v>#N/A</v>
      </c>
      <c r="AA31" t="e">
        <f>RTD("streambase.rtd",,"STREAM:AppOut", "FIELD:OrderQty", CONCATENATE("TUPLENUM:", ROW()-2))</f>
        <v>#N/A</v>
      </c>
      <c r="AB31" t="e">
        <f>RTD("streambase.rtd",,"STREAM:AppOut", "FIELD:CumQty", CONCATENATE("TUPLENUM:", ROW()-2))</f>
        <v>#N/A</v>
      </c>
      <c r="AC31" t="e">
        <f>RTD("streambase.rtd",,"STREAM:AppOut", "FIELD:AvgPx", CONCATENATE("TUPLENUM:", ROW()-2))</f>
        <v>#N/A</v>
      </c>
      <c r="AD31" t="e">
        <f>RTD("streambase.rtd",,"STREAM:AppOut", "FIELD:UpdateNumber", CONCATENATE("TUPLENUM:", ROW()-2))</f>
        <v>#N/A</v>
      </c>
      <c r="AE31" s="11" t="e">
        <f>RTD("streambase.rtd",,"STREAM:AppOut", "FIELD:UpdateTime", CONCATENATE("TUPLENUM:", ROW()-2))</f>
        <v>#N/A</v>
      </c>
      <c r="AF31" t="e">
        <f>RTD("streambase.rtd",,"STREAM:AppOut", "FIELD:ReplacedbyReqID", CONCATENATE("TUPLENUM:", ROW()-2))</f>
        <v>#N/A</v>
      </c>
      <c r="AG31" t="e">
        <f>RTD("streambase.rtd",,"STREAM:AppOut", "FIELD:LeavesQty", CONCATENATE("TUPLENUM:", ROW()-2))</f>
        <v>#N/A</v>
      </c>
      <c r="AH31" t="e">
        <f>RTD("streambase.rtd",,"STREAM:AppOut", "FIELD:Account", CONCATENATE("TUPLENUM:", ROW()-2))</f>
        <v>#N/A</v>
      </c>
      <c r="AI31" t="e">
        <f>RTD("streambase.rtd",,"STREAM:AppOut", "FIELD:TradeDate", CONCATENATE("TUPLENUM:", ROW()-2))</f>
        <v>#N/A</v>
      </c>
    </row>
    <row r="32" spans="1:35">
      <c r="A32" t="str">
        <f>IF(B32="","",RTD("streambase.rtd",,"STREAM:AppOut", "FIELD:OrderStatus", "LOCALFILTER:AppOrdID==""" &amp; $B32 &amp; """"))</f>
        <v/>
      </c>
      <c r="B32" s="15" t="str">
        <f>IF(E32="","",VLOOKUP(E32,Params!O:P,2,FALSE)&amp;"_"&amp;VLOOKUP(F32,Params!R:S,2,FALSE)&amp;"_"&amp;VLOOKUP(G32,Params!U:V,2,FALSE)&amp;"_"&amp;"00"&amp;ROW()-1)</f>
        <v/>
      </c>
      <c r="C32" s="6"/>
      <c r="D32" s="6"/>
      <c r="H32" s="6"/>
      <c r="I32" s="6"/>
      <c r="L32" s="6"/>
      <c r="M32" s="6"/>
      <c r="N32" t="str">
        <f>IF(B32="","",RTD("streambase.rtd",,"STREAM:AppOut", "FIELD:CumQty", "LOCALFILTER:AppOrdID==""" &amp; $B32 &amp; """"))</f>
        <v/>
      </c>
      <c r="O32" t="str">
        <f>IF(B32="","",RTD("streambase.rtd",,"STREAM:AppOut", "FIELD:AvgPx", "LOCALFILTER:AppOrdID==""" &amp; $B32 &amp; """"))</f>
        <v/>
      </c>
      <c r="U32" t="e">
        <f>RTD("streambase.rtd",,"STREAM:AppOut", "FIELD:AppOrdID", CONCATENATE("TUPLENUM:", ROW()-2))</f>
        <v>#N/A</v>
      </c>
      <c r="V32" t="e">
        <f>RTD("streambase.rtd",,"STREAM:AppOut", "FIELD:AppCxlRplID", CONCATENATE("TUPLENUM:", ROW()-2))</f>
        <v>#N/A</v>
      </c>
      <c r="W32" t="e">
        <f>RTD("streambase.rtd",,"STREAM:AppOut", "FIELD:Symbol", CONCATENATE("TUPLENUM:", ROW()-2))</f>
        <v>#N/A</v>
      </c>
      <c r="X32" t="e">
        <f>RTD("streambase.rtd",,"STREAM:AppOut", "FIELD:OrderStatus", CONCATENATE("TUPLENUM:", ROW()-2))</f>
        <v>#N/A</v>
      </c>
      <c r="Y32" t="e">
        <f>RTD("streambase.rtd",,"STREAM:AppOut", "FIELD:BuySell", CONCATENATE("TUPLENUM:", ROW()-2))</f>
        <v>#N/A</v>
      </c>
      <c r="Z32" t="e">
        <f>RTD("streambase.rtd",,"STREAM:AppOut", "FIELD:Price", CONCATENATE("TUPLENUM:", ROW()-2))</f>
        <v>#N/A</v>
      </c>
      <c r="AA32" t="e">
        <f>RTD("streambase.rtd",,"STREAM:AppOut", "FIELD:OrderQty", CONCATENATE("TUPLENUM:", ROW()-2))</f>
        <v>#N/A</v>
      </c>
      <c r="AB32" t="e">
        <f>RTD("streambase.rtd",,"STREAM:AppOut", "FIELD:CumQty", CONCATENATE("TUPLENUM:", ROW()-2))</f>
        <v>#N/A</v>
      </c>
      <c r="AC32" t="e">
        <f>RTD("streambase.rtd",,"STREAM:AppOut", "FIELD:AvgPx", CONCATENATE("TUPLENUM:", ROW()-2))</f>
        <v>#N/A</v>
      </c>
      <c r="AD32" t="e">
        <f>RTD("streambase.rtd",,"STREAM:AppOut", "FIELD:UpdateNumber", CONCATENATE("TUPLENUM:", ROW()-2))</f>
        <v>#N/A</v>
      </c>
      <c r="AE32" s="11" t="e">
        <f>RTD("streambase.rtd",,"STREAM:AppOut", "FIELD:UpdateTime", CONCATENATE("TUPLENUM:", ROW()-2))</f>
        <v>#N/A</v>
      </c>
      <c r="AF32" t="e">
        <f>RTD("streambase.rtd",,"STREAM:AppOut", "FIELD:ReplacedbyReqID", CONCATENATE("TUPLENUM:", ROW()-2))</f>
        <v>#N/A</v>
      </c>
      <c r="AG32" t="e">
        <f>RTD("streambase.rtd",,"STREAM:AppOut", "FIELD:LeavesQty", CONCATENATE("TUPLENUM:", ROW()-2))</f>
        <v>#N/A</v>
      </c>
      <c r="AH32" t="e">
        <f>RTD("streambase.rtd",,"STREAM:AppOut", "FIELD:Account", CONCATENATE("TUPLENUM:", ROW()-2))</f>
        <v>#N/A</v>
      </c>
      <c r="AI32" t="e">
        <f>RTD("streambase.rtd",,"STREAM:AppOut", "FIELD:TradeDate", CONCATENATE("TUPLENUM:", ROW()-2))</f>
        <v>#N/A</v>
      </c>
    </row>
    <row r="33" spans="1:35">
      <c r="A33" t="str">
        <f>IF(B33="","",RTD("streambase.rtd",,"STREAM:AppOut", "FIELD:OrderStatus", "LOCALFILTER:AppOrdID==""" &amp; $B33 &amp; """"))</f>
        <v/>
      </c>
      <c r="B33" s="15" t="str">
        <f>IF(E33="","",VLOOKUP(E33,Params!O:P,2,FALSE)&amp;"_"&amp;VLOOKUP(F33,Params!R:S,2,FALSE)&amp;"_"&amp;VLOOKUP(G33,Params!U:V,2,FALSE)&amp;"_"&amp;"00"&amp;ROW()-1)</f>
        <v/>
      </c>
      <c r="C33" s="6"/>
      <c r="D33" s="6"/>
      <c r="H33" s="6"/>
      <c r="I33" s="6"/>
      <c r="L33" s="6"/>
      <c r="M33" s="6"/>
      <c r="N33" t="str">
        <f>IF(B33="","",RTD("streambase.rtd",,"STREAM:AppOut", "FIELD:CumQty", "LOCALFILTER:AppOrdID==""" &amp; $B33 &amp; """"))</f>
        <v/>
      </c>
      <c r="O33" t="str">
        <f>IF(B33="","",RTD("streambase.rtd",,"STREAM:AppOut", "FIELD:AvgPx", "LOCALFILTER:AppOrdID==""" &amp; $B33 &amp; """"))</f>
        <v/>
      </c>
      <c r="U33" t="e">
        <f>RTD("streambase.rtd",,"STREAM:AppOut", "FIELD:AppOrdID", CONCATENATE("TUPLENUM:", ROW()-2))</f>
        <v>#N/A</v>
      </c>
      <c r="V33" t="e">
        <f>RTD("streambase.rtd",,"STREAM:AppOut", "FIELD:AppCxlRplID", CONCATENATE("TUPLENUM:", ROW()-2))</f>
        <v>#N/A</v>
      </c>
      <c r="W33" t="e">
        <f>RTD("streambase.rtd",,"STREAM:AppOut", "FIELD:Symbol", CONCATENATE("TUPLENUM:", ROW()-2))</f>
        <v>#N/A</v>
      </c>
      <c r="X33" t="e">
        <f>RTD("streambase.rtd",,"STREAM:AppOut", "FIELD:OrderStatus", CONCATENATE("TUPLENUM:", ROW()-2))</f>
        <v>#N/A</v>
      </c>
      <c r="Y33" t="e">
        <f>RTD("streambase.rtd",,"STREAM:AppOut", "FIELD:BuySell", CONCATENATE("TUPLENUM:", ROW()-2))</f>
        <v>#N/A</v>
      </c>
      <c r="Z33" t="e">
        <f>RTD("streambase.rtd",,"STREAM:AppOut", "FIELD:Price", CONCATENATE("TUPLENUM:", ROW()-2))</f>
        <v>#N/A</v>
      </c>
      <c r="AA33" t="e">
        <f>RTD("streambase.rtd",,"STREAM:AppOut", "FIELD:OrderQty", CONCATENATE("TUPLENUM:", ROW()-2))</f>
        <v>#N/A</v>
      </c>
      <c r="AB33" t="e">
        <f>RTD("streambase.rtd",,"STREAM:AppOut", "FIELD:CumQty", CONCATENATE("TUPLENUM:", ROW()-2))</f>
        <v>#N/A</v>
      </c>
      <c r="AC33" t="e">
        <f>RTD("streambase.rtd",,"STREAM:AppOut", "FIELD:AvgPx", CONCATENATE("TUPLENUM:", ROW()-2))</f>
        <v>#N/A</v>
      </c>
      <c r="AD33" t="e">
        <f>RTD("streambase.rtd",,"STREAM:AppOut", "FIELD:UpdateNumber", CONCATENATE("TUPLENUM:", ROW()-2))</f>
        <v>#N/A</v>
      </c>
      <c r="AE33" s="11" t="e">
        <f>RTD("streambase.rtd",,"STREAM:AppOut", "FIELD:UpdateTime", CONCATENATE("TUPLENUM:", ROW()-2))</f>
        <v>#N/A</v>
      </c>
      <c r="AF33" t="e">
        <f>RTD("streambase.rtd",,"STREAM:AppOut", "FIELD:ReplacedbyReqID", CONCATENATE("TUPLENUM:", ROW()-2))</f>
        <v>#N/A</v>
      </c>
      <c r="AG33" t="e">
        <f>RTD("streambase.rtd",,"STREAM:AppOut", "FIELD:LeavesQty", CONCATENATE("TUPLENUM:", ROW()-2))</f>
        <v>#N/A</v>
      </c>
      <c r="AH33" t="e">
        <f>RTD("streambase.rtd",,"STREAM:AppOut", "FIELD:Account", CONCATENATE("TUPLENUM:", ROW()-2))</f>
        <v>#N/A</v>
      </c>
      <c r="AI33" t="e">
        <f>RTD("streambase.rtd",,"STREAM:AppOut", "FIELD:TradeDate", CONCATENATE("TUPLENUM:", ROW()-2))</f>
        <v>#N/A</v>
      </c>
    </row>
    <row r="34" spans="1:35">
      <c r="A34" t="str">
        <f>IF(B34="","",RTD("streambase.rtd",,"STREAM:AppOut", "FIELD:OrderStatus", "LOCALFILTER:AppOrdID==""" &amp; $B34 &amp; """"))</f>
        <v/>
      </c>
      <c r="B34" s="15" t="str">
        <f>IF(E34="","",VLOOKUP(E34,Params!O:P,2,FALSE)&amp;"_"&amp;VLOOKUP(F34,Params!R:S,2,FALSE)&amp;"_"&amp;VLOOKUP(G34,Params!U:V,2,FALSE)&amp;"_"&amp;"00"&amp;ROW()-1)</f>
        <v/>
      </c>
      <c r="C34" s="6"/>
      <c r="D34" s="6"/>
      <c r="H34" s="6"/>
      <c r="I34" s="6"/>
      <c r="L34" s="6"/>
      <c r="M34" s="6"/>
      <c r="N34" t="str">
        <f>IF(B34="","",RTD("streambase.rtd",,"STREAM:AppOut", "FIELD:CumQty", "LOCALFILTER:AppOrdID==""" &amp; $B34 &amp; """"))</f>
        <v/>
      </c>
      <c r="O34" t="str">
        <f>IF(B34="","",RTD("streambase.rtd",,"STREAM:AppOut", "FIELD:AvgPx", "LOCALFILTER:AppOrdID==""" &amp; $B34 &amp; """"))</f>
        <v/>
      </c>
      <c r="U34" t="e">
        <f>RTD("streambase.rtd",,"STREAM:AppOut", "FIELD:AppOrdID", CONCATENATE("TUPLENUM:", ROW()-2))</f>
        <v>#N/A</v>
      </c>
      <c r="V34" t="e">
        <f>RTD("streambase.rtd",,"STREAM:AppOut", "FIELD:AppCxlRplID", CONCATENATE("TUPLENUM:", ROW()-2))</f>
        <v>#N/A</v>
      </c>
      <c r="W34" t="e">
        <f>RTD("streambase.rtd",,"STREAM:AppOut", "FIELD:Symbol", CONCATENATE("TUPLENUM:", ROW()-2))</f>
        <v>#N/A</v>
      </c>
      <c r="X34" t="e">
        <f>RTD("streambase.rtd",,"STREAM:AppOut", "FIELD:OrderStatus", CONCATENATE("TUPLENUM:", ROW()-2))</f>
        <v>#N/A</v>
      </c>
      <c r="Y34" t="e">
        <f>RTD("streambase.rtd",,"STREAM:AppOut", "FIELD:BuySell", CONCATENATE("TUPLENUM:", ROW()-2))</f>
        <v>#N/A</v>
      </c>
      <c r="Z34" t="e">
        <f>RTD("streambase.rtd",,"STREAM:AppOut", "FIELD:Price", CONCATENATE("TUPLENUM:", ROW()-2))</f>
        <v>#N/A</v>
      </c>
      <c r="AA34" t="e">
        <f>RTD("streambase.rtd",,"STREAM:AppOut", "FIELD:OrderQty", CONCATENATE("TUPLENUM:", ROW()-2))</f>
        <v>#N/A</v>
      </c>
      <c r="AB34" t="e">
        <f>RTD("streambase.rtd",,"STREAM:AppOut", "FIELD:CumQty", CONCATENATE("TUPLENUM:", ROW()-2))</f>
        <v>#N/A</v>
      </c>
      <c r="AC34" t="e">
        <f>RTD("streambase.rtd",,"STREAM:AppOut", "FIELD:AvgPx", CONCATENATE("TUPLENUM:", ROW()-2))</f>
        <v>#N/A</v>
      </c>
      <c r="AD34" t="e">
        <f>RTD("streambase.rtd",,"STREAM:AppOut", "FIELD:UpdateNumber", CONCATENATE("TUPLENUM:", ROW()-2))</f>
        <v>#N/A</v>
      </c>
      <c r="AE34" s="11" t="e">
        <f>RTD("streambase.rtd",,"STREAM:AppOut", "FIELD:UpdateTime", CONCATENATE("TUPLENUM:", ROW()-2))</f>
        <v>#N/A</v>
      </c>
      <c r="AF34" t="e">
        <f>RTD("streambase.rtd",,"STREAM:AppOut", "FIELD:ReplacedbyReqID", CONCATENATE("TUPLENUM:", ROW()-2))</f>
        <v>#N/A</v>
      </c>
      <c r="AG34" t="e">
        <f>RTD("streambase.rtd",,"STREAM:AppOut", "FIELD:LeavesQty", CONCATENATE("TUPLENUM:", ROW()-2))</f>
        <v>#N/A</v>
      </c>
      <c r="AH34" t="e">
        <f>RTD("streambase.rtd",,"STREAM:AppOut", "FIELD:Account", CONCATENATE("TUPLENUM:", ROW()-2))</f>
        <v>#N/A</v>
      </c>
      <c r="AI34" t="e">
        <f>RTD("streambase.rtd",,"STREAM:AppOut", "FIELD:TradeDate", CONCATENATE("TUPLENUM:", ROW()-2))</f>
        <v>#N/A</v>
      </c>
    </row>
    <row r="35" spans="1:35">
      <c r="A35" t="str">
        <f>IF(B35="","",RTD("streambase.rtd",,"STREAM:AppOut", "FIELD:OrderStatus", "LOCALFILTER:AppOrdID==""" &amp; $B35 &amp; """"))</f>
        <v/>
      </c>
      <c r="B35" s="15" t="str">
        <f>IF(E35="","",VLOOKUP(E35,Params!O:P,2,FALSE)&amp;"_"&amp;VLOOKUP(F35,Params!R:S,2,FALSE)&amp;"_"&amp;VLOOKUP(G35,Params!U:V,2,FALSE)&amp;"_"&amp;"00"&amp;ROW()-1)</f>
        <v/>
      </c>
      <c r="C35" s="6"/>
      <c r="D35" s="6"/>
      <c r="H35" s="6"/>
      <c r="I35" s="6"/>
      <c r="L35" s="6"/>
      <c r="M35" s="6"/>
      <c r="N35" t="str">
        <f>IF(B35="","",RTD("streambase.rtd",,"STREAM:AppOut", "FIELD:CumQty", "LOCALFILTER:AppOrdID==""" &amp; $B35 &amp; """"))</f>
        <v/>
      </c>
      <c r="O35" t="str">
        <f>IF(B35="","",RTD("streambase.rtd",,"STREAM:AppOut", "FIELD:AvgPx", "LOCALFILTER:AppOrdID==""" &amp; $B35 &amp; """"))</f>
        <v/>
      </c>
      <c r="U35" t="e">
        <f>RTD("streambase.rtd",,"STREAM:AppOut", "FIELD:AppOrdID", CONCATENATE("TUPLENUM:", ROW()-2))</f>
        <v>#N/A</v>
      </c>
      <c r="V35" t="e">
        <f>RTD("streambase.rtd",,"STREAM:AppOut", "FIELD:AppCxlRplID", CONCATENATE("TUPLENUM:", ROW()-2))</f>
        <v>#N/A</v>
      </c>
      <c r="W35" t="e">
        <f>RTD("streambase.rtd",,"STREAM:AppOut", "FIELD:Symbol", CONCATENATE("TUPLENUM:", ROW()-2))</f>
        <v>#N/A</v>
      </c>
      <c r="X35" t="e">
        <f>RTD("streambase.rtd",,"STREAM:AppOut", "FIELD:OrderStatus", CONCATENATE("TUPLENUM:", ROW()-2))</f>
        <v>#N/A</v>
      </c>
      <c r="Y35" t="e">
        <f>RTD("streambase.rtd",,"STREAM:AppOut", "FIELD:BuySell", CONCATENATE("TUPLENUM:", ROW()-2))</f>
        <v>#N/A</v>
      </c>
      <c r="Z35" t="e">
        <f>RTD("streambase.rtd",,"STREAM:AppOut", "FIELD:Price", CONCATENATE("TUPLENUM:", ROW()-2))</f>
        <v>#N/A</v>
      </c>
      <c r="AA35" t="e">
        <f>RTD("streambase.rtd",,"STREAM:AppOut", "FIELD:OrderQty", CONCATENATE("TUPLENUM:", ROW()-2))</f>
        <v>#N/A</v>
      </c>
      <c r="AB35" t="e">
        <f>RTD("streambase.rtd",,"STREAM:AppOut", "FIELD:CumQty", CONCATENATE("TUPLENUM:", ROW()-2))</f>
        <v>#N/A</v>
      </c>
      <c r="AC35" t="e">
        <f>RTD("streambase.rtd",,"STREAM:AppOut", "FIELD:AvgPx", CONCATENATE("TUPLENUM:", ROW()-2))</f>
        <v>#N/A</v>
      </c>
      <c r="AD35" t="e">
        <f>RTD("streambase.rtd",,"STREAM:AppOut", "FIELD:UpdateNumber", CONCATENATE("TUPLENUM:", ROW()-2))</f>
        <v>#N/A</v>
      </c>
      <c r="AE35" s="11" t="e">
        <f>RTD("streambase.rtd",,"STREAM:AppOut", "FIELD:UpdateTime", CONCATENATE("TUPLENUM:", ROW()-2))</f>
        <v>#N/A</v>
      </c>
      <c r="AF35" t="e">
        <f>RTD("streambase.rtd",,"STREAM:AppOut", "FIELD:ReplacedbyReqID", CONCATENATE("TUPLENUM:", ROW()-2))</f>
        <v>#N/A</v>
      </c>
      <c r="AG35" t="e">
        <f>RTD("streambase.rtd",,"STREAM:AppOut", "FIELD:LeavesQty", CONCATENATE("TUPLENUM:", ROW()-2))</f>
        <v>#N/A</v>
      </c>
      <c r="AH35" t="e">
        <f>RTD("streambase.rtd",,"STREAM:AppOut", "FIELD:Account", CONCATENATE("TUPLENUM:", ROW()-2))</f>
        <v>#N/A</v>
      </c>
      <c r="AI35" t="e">
        <f>RTD("streambase.rtd",,"STREAM:AppOut", "FIELD:TradeDate", CONCATENATE("TUPLENUM:", ROW()-2))</f>
        <v>#N/A</v>
      </c>
    </row>
    <row r="36" spans="1:35">
      <c r="A36" t="str">
        <f>IF(B36="","",RTD("streambase.rtd",,"STREAM:AppOut", "FIELD:OrderStatus", "LOCALFILTER:AppOrdID==""" &amp; $B36 &amp; """"))</f>
        <v/>
      </c>
      <c r="B36" s="15" t="str">
        <f>IF(E36="","",VLOOKUP(E36,Params!O:P,2,FALSE)&amp;"_"&amp;VLOOKUP(F36,Params!R:S,2,FALSE)&amp;"_"&amp;VLOOKUP(G36,Params!U:V,2,FALSE)&amp;"_"&amp;"00"&amp;ROW()-1)</f>
        <v/>
      </c>
      <c r="C36" s="6"/>
      <c r="D36" s="6"/>
      <c r="H36" s="6"/>
      <c r="I36" s="6"/>
      <c r="L36" s="6"/>
      <c r="M36" s="6"/>
      <c r="N36" t="str">
        <f>IF(B36="","",RTD("streambase.rtd",,"STREAM:AppOut", "FIELD:CumQty", "LOCALFILTER:AppOrdID==""" &amp; $B36 &amp; """"))</f>
        <v/>
      </c>
      <c r="O36" t="str">
        <f>IF(B36="","",RTD("streambase.rtd",,"STREAM:AppOut", "FIELD:AvgPx", "LOCALFILTER:AppOrdID==""" &amp; $B36 &amp; """"))</f>
        <v/>
      </c>
      <c r="U36" t="e">
        <f>RTD("streambase.rtd",,"STREAM:AppOut", "FIELD:AppOrdID", CONCATENATE("TUPLENUM:", ROW()-2))</f>
        <v>#N/A</v>
      </c>
      <c r="V36" t="e">
        <f>RTD("streambase.rtd",,"STREAM:AppOut", "FIELD:AppCxlRplID", CONCATENATE("TUPLENUM:", ROW()-2))</f>
        <v>#N/A</v>
      </c>
      <c r="W36" t="e">
        <f>RTD("streambase.rtd",,"STREAM:AppOut", "FIELD:Symbol", CONCATENATE("TUPLENUM:", ROW()-2))</f>
        <v>#N/A</v>
      </c>
      <c r="X36" t="e">
        <f>RTD("streambase.rtd",,"STREAM:AppOut", "FIELD:OrderStatus", CONCATENATE("TUPLENUM:", ROW()-2))</f>
        <v>#N/A</v>
      </c>
      <c r="Y36" t="e">
        <f>RTD("streambase.rtd",,"STREAM:AppOut", "FIELD:BuySell", CONCATENATE("TUPLENUM:", ROW()-2))</f>
        <v>#N/A</v>
      </c>
      <c r="Z36" t="e">
        <f>RTD("streambase.rtd",,"STREAM:AppOut", "FIELD:Price", CONCATENATE("TUPLENUM:", ROW()-2))</f>
        <v>#N/A</v>
      </c>
      <c r="AA36" t="e">
        <f>RTD("streambase.rtd",,"STREAM:AppOut", "FIELD:OrderQty", CONCATENATE("TUPLENUM:", ROW()-2))</f>
        <v>#N/A</v>
      </c>
      <c r="AB36" t="e">
        <f>RTD("streambase.rtd",,"STREAM:AppOut", "FIELD:CumQty", CONCATENATE("TUPLENUM:", ROW()-2))</f>
        <v>#N/A</v>
      </c>
      <c r="AC36" t="e">
        <f>RTD("streambase.rtd",,"STREAM:AppOut", "FIELD:AvgPx", CONCATENATE("TUPLENUM:", ROW()-2))</f>
        <v>#N/A</v>
      </c>
      <c r="AD36" t="e">
        <f>RTD("streambase.rtd",,"STREAM:AppOut", "FIELD:UpdateNumber", CONCATENATE("TUPLENUM:", ROW()-2))</f>
        <v>#N/A</v>
      </c>
      <c r="AE36" s="11" t="e">
        <f>RTD("streambase.rtd",,"STREAM:AppOut", "FIELD:UpdateTime", CONCATENATE("TUPLENUM:", ROW()-2))</f>
        <v>#N/A</v>
      </c>
      <c r="AF36" t="e">
        <f>RTD("streambase.rtd",,"STREAM:AppOut", "FIELD:ReplacedbyReqID", CONCATENATE("TUPLENUM:", ROW()-2))</f>
        <v>#N/A</v>
      </c>
      <c r="AG36" t="e">
        <f>RTD("streambase.rtd",,"STREAM:AppOut", "FIELD:LeavesQty", CONCATENATE("TUPLENUM:", ROW()-2))</f>
        <v>#N/A</v>
      </c>
      <c r="AH36" t="e">
        <f>RTD("streambase.rtd",,"STREAM:AppOut", "FIELD:Account", CONCATENATE("TUPLENUM:", ROW()-2))</f>
        <v>#N/A</v>
      </c>
      <c r="AI36" t="e">
        <f>RTD("streambase.rtd",,"STREAM:AppOut", "FIELD:TradeDate", CONCATENATE("TUPLENUM:", ROW()-2))</f>
        <v>#N/A</v>
      </c>
    </row>
    <row r="37" spans="1:35">
      <c r="A37" t="str">
        <f>IF(B37="","",RTD("streambase.rtd",,"STREAM:AppOut", "FIELD:OrderStatus", "LOCALFILTER:AppOrdID==""" &amp; $B37 &amp; """"))</f>
        <v/>
      </c>
      <c r="B37" s="15" t="str">
        <f>IF(E37="","",VLOOKUP(E37,Params!O:P,2,FALSE)&amp;"_"&amp;VLOOKUP(F37,Params!R:S,2,FALSE)&amp;"_"&amp;VLOOKUP(G37,Params!U:V,2,FALSE)&amp;"_"&amp;"00"&amp;ROW()-1)</f>
        <v/>
      </c>
      <c r="C37" s="6"/>
      <c r="D37" s="6"/>
      <c r="H37" s="6"/>
      <c r="I37" s="6"/>
      <c r="L37" s="6"/>
      <c r="M37" s="6"/>
      <c r="N37" t="str">
        <f>IF(B37="","",RTD("streambase.rtd",,"STREAM:AppOut", "FIELD:CumQty", "LOCALFILTER:AppOrdID==""" &amp; $B37 &amp; """"))</f>
        <v/>
      </c>
      <c r="O37" t="str">
        <f>IF(B37="","",RTD("streambase.rtd",,"STREAM:AppOut", "FIELD:AvgPx", "LOCALFILTER:AppOrdID==""" &amp; $B37 &amp; """"))</f>
        <v/>
      </c>
      <c r="U37" t="e">
        <f>RTD("streambase.rtd",,"STREAM:AppOut", "FIELD:AppOrdID", CONCATENATE("TUPLENUM:", ROW()-2))</f>
        <v>#N/A</v>
      </c>
      <c r="V37" t="e">
        <f>RTD("streambase.rtd",,"STREAM:AppOut", "FIELD:AppCxlRplID", CONCATENATE("TUPLENUM:", ROW()-2))</f>
        <v>#N/A</v>
      </c>
      <c r="W37" t="e">
        <f>RTD("streambase.rtd",,"STREAM:AppOut", "FIELD:Symbol", CONCATENATE("TUPLENUM:", ROW()-2))</f>
        <v>#N/A</v>
      </c>
      <c r="X37" t="e">
        <f>RTD("streambase.rtd",,"STREAM:AppOut", "FIELD:OrderStatus", CONCATENATE("TUPLENUM:", ROW()-2))</f>
        <v>#N/A</v>
      </c>
      <c r="Y37" t="e">
        <f>RTD("streambase.rtd",,"STREAM:AppOut", "FIELD:BuySell", CONCATENATE("TUPLENUM:", ROW()-2))</f>
        <v>#N/A</v>
      </c>
      <c r="Z37" t="e">
        <f>RTD("streambase.rtd",,"STREAM:AppOut", "FIELD:Price", CONCATENATE("TUPLENUM:", ROW()-2))</f>
        <v>#N/A</v>
      </c>
      <c r="AA37" t="e">
        <f>RTD("streambase.rtd",,"STREAM:AppOut", "FIELD:OrderQty", CONCATENATE("TUPLENUM:", ROW()-2))</f>
        <v>#N/A</v>
      </c>
      <c r="AB37" t="e">
        <f>RTD("streambase.rtd",,"STREAM:AppOut", "FIELD:CumQty", CONCATENATE("TUPLENUM:", ROW()-2))</f>
        <v>#N/A</v>
      </c>
      <c r="AC37" t="e">
        <f>RTD("streambase.rtd",,"STREAM:AppOut", "FIELD:AvgPx", CONCATENATE("TUPLENUM:", ROW()-2))</f>
        <v>#N/A</v>
      </c>
      <c r="AD37" t="e">
        <f>RTD("streambase.rtd",,"STREAM:AppOut", "FIELD:UpdateNumber", CONCATENATE("TUPLENUM:", ROW()-2))</f>
        <v>#N/A</v>
      </c>
      <c r="AE37" s="11" t="e">
        <f>RTD("streambase.rtd",,"STREAM:AppOut", "FIELD:UpdateTime", CONCATENATE("TUPLENUM:", ROW()-2))</f>
        <v>#N/A</v>
      </c>
      <c r="AF37" t="e">
        <f>RTD("streambase.rtd",,"STREAM:AppOut", "FIELD:ReplacedbyReqID", CONCATENATE("TUPLENUM:", ROW()-2))</f>
        <v>#N/A</v>
      </c>
      <c r="AG37" t="e">
        <f>RTD("streambase.rtd",,"STREAM:AppOut", "FIELD:LeavesQty", CONCATENATE("TUPLENUM:", ROW()-2))</f>
        <v>#N/A</v>
      </c>
      <c r="AH37" t="e">
        <f>RTD("streambase.rtd",,"STREAM:AppOut", "FIELD:Account", CONCATENATE("TUPLENUM:", ROW()-2))</f>
        <v>#N/A</v>
      </c>
      <c r="AI37" t="e">
        <f>RTD("streambase.rtd",,"STREAM:AppOut", "FIELD:TradeDate", CONCATENATE("TUPLENUM:", ROW()-2))</f>
        <v>#N/A</v>
      </c>
    </row>
    <row r="38" spans="1:35">
      <c r="A38" t="str">
        <f>IF(B38="","",RTD("streambase.rtd",,"STREAM:AppOut", "FIELD:OrderStatus", "LOCALFILTER:AppOrdID==""" &amp; $B38 &amp; """"))</f>
        <v/>
      </c>
      <c r="B38" s="15" t="str">
        <f>IF(E38="","",VLOOKUP(E38,Params!O:P,2,FALSE)&amp;"_"&amp;VLOOKUP(F38,Params!R:S,2,FALSE)&amp;"_"&amp;VLOOKUP(G38,Params!U:V,2,FALSE)&amp;"_"&amp;"00"&amp;ROW()-1)</f>
        <v/>
      </c>
      <c r="C38" s="6"/>
      <c r="D38" s="6"/>
      <c r="H38" s="6"/>
      <c r="I38" s="6"/>
      <c r="L38" s="6"/>
      <c r="M38" s="6"/>
      <c r="N38" t="str">
        <f>IF(B38="","",RTD("streambase.rtd",,"STREAM:AppOut", "FIELD:CumQty", "LOCALFILTER:AppOrdID==""" &amp; $B38 &amp; """"))</f>
        <v/>
      </c>
      <c r="O38" t="str">
        <f>IF(B38="","",RTD("streambase.rtd",,"STREAM:AppOut", "FIELD:AvgPx", "LOCALFILTER:AppOrdID==""" &amp; $B38 &amp; """"))</f>
        <v/>
      </c>
      <c r="U38" t="e">
        <f>RTD("streambase.rtd",,"STREAM:AppOut", "FIELD:AppOrdID", CONCATENATE("TUPLENUM:", ROW()-2))</f>
        <v>#N/A</v>
      </c>
      <c r="V38" t="e">
        <f>RTD("streambase.rtd",,"STREAM:AppOut", "FIELD:AppCxlRplID", CONCATENATE("TUPLENUM:", ROW()-2))</f>
        <v>#N/A</v>
      </c>
      <c r="W38" t="e">
        <f>RTD("streambase.rtd",,"STREAM:AppOut", "FIELD:Symbol", CONCATENATE("TUPLENUM:", ROW()-2))</f>
        <v>#N/A</v>
      </c>
      <c r="X38" t="e">
        <f>RTD("streambase.rtd",,"STREAM:AppOut", "FIELD:OrderStatus", CONCATENATE("TUPLENUM:", ROW()-2))</f>
        <v>#N/A</v>
      </c>
      <c r="Y38" t="e">
        <f>RTD("streambase.rtd",,"STREAM:AppOut", "FIELD:BuySell", CONCATENATE("TUPLENUM:", ROW()-2))</f>
        <v>#N/A</v>
      </c>
      <c r="Z38" t="e">
        <f>RTD("streambase.rtd",,"STREAM:AppOut", "FIELD:Price", CONCATENATE("TUPLENUM:", ROW()-2))</f>
        <v>#N/A</v>
      </c>
      <c r="AA38" t="e">
        <f>RTD("streambase.rtd",,"STREAM:AppOut", "FIELD:OrderQty", CONCATENATE("TUPLENUM:", ROW()-2))</f>
        <v>#N/A</v>
      </c>
      <c r="AB38" t="e">
        <f>RTD("streambase.rtd",,"STREAM:AppOut", "FIELD:CumQty", CONCATENATE("TUPLENUM:", ROW()-2))</f>
        <v>#N/A</v>
      </c>
      <c r="AC38" t="e">
        <f>RTD("streambase.rtd",,"STREAM:AppOut", "FIELD:AvgPx", CONCATENATE("TUPLENUM:", ROW()-2))</f>
        <v>#N/A</v>
      </c>
      <c r="AD38" t="e">
        <f>RTD("streambase.rtd",,"STREAM:AppOut", "FIELD:UpdateNumber", CONCATENATE("TUPLENUM:", ROW()-2))</f>
        <v>#N/A</v>
      </c>
      <c r="AE38" s="11" t="e">
        <f>RTD("streambase.rtd",,"STREAM:AppOut", "FIELD:UpdateTime", CONCATENATE("TUPLENUM:", ROW()-2))</f>
        <v>#N/A</v>
      </c>
      <c r="AF38" t="e">
        <f>RTD("streambase.rtd",,"STREAM:AppOut", "FIELD:ReplacedbyReqID", CONCATENATE("TUPLENUM:", ROW()-2))</f>
        <v>#N/A</v>
      </c>
      <c r="AG38" t="e">
        <f>RTD("streambase.rtd",,"STREAM:AppOut", "FIELD:LeavesQty", CONCATENATE("TUPLENUM:", ROW()-2))</f>
        <v>#N/A</v>
      </c>
      <c r="AH38" t="e">
        <f>RTD("streambase.rtd",,"STREAM:AppOut", "FIELD:Account", CONCATENATE("TUPLENUM:", ROW()-2))</f>
        <v>#N/A</v>
      </c>
      <c r="AI38" t="e">
        <f>RTD("streambase.rtd",,"STREAM:AppOut", "FIELD:TradeDate", CONCATENATE("TUPLENUM:", ROW()-2))</f>
        <v>#N/A</v>
      </c>
    </row>
    <row r="39" spans="1:35">
      <c r="A39" t="str">
        <f>IF(B39="","",RTD("streambase.rtd",,"STREAM:AppOut", "FIELD:OrderStatus", "LOCALFILTER:AppOrdID==""" &amp; $B39 &amp; """"))</f>
        <v/>
      </c>
      <c r="B39" s="15" t="str">
        <f>IF(E39="","",VLOOKUP(E39,Params!O:P,2,FALSE)&amp;"_"&amp;VLOOKUP(F39,Params!R:S,2,FALSE)&amp;"_"&amp;VLOOKUP(G39,Params!U:V,2,FALSE)&amp;"_"&amp;"00"&amp;ROW()-1)</f>
        <v/>
      </c>
      <c r="C39" s="6"/>
      <c r="D39" s="6"/>
      <c r="H39" s="6"/>
      <c r="I39" s="6"/>
      <c r="L39" s="6"/>
      <c r="M39" s="6"/>
      <c r="N39" t="str">
        <f>IF(B39="","",RTD("streambase.rtd",,"STREAM:AppOut", "FIELD:CumQty", "LOCALFILTER:AppOrdID==""" &amp; $B39 &amp; """"))</f>
        <v/>
      </c>
      <c r="O39" t="str">
        <f>IF(B39="","",RTD("streambase.rtd",,"STREAM:AppOut", "FIELD:AvgPx", "LOCALFILTER:AppOrdID==""" &amp; $B39 &amp; """"))</f>
        <v/>
      </c>
      <c r="U39" t="e">
        <f>RTD("streambase.rtd",,"STREAM:AppOut", "FIELD:AppOrdID", CONCATENATE("TUPLENUM:", ROW()-2))</f>
        <v>#N/A</v>
      </c>
      <c r="V39" t="e">
        <f>RTD("streambase.rtd",,"STREAM:AppOut", "FIELD:AppCxlRplID", CONCATENATE("TUPLENUM:", ROW()-2))</f>
        <v>#N/A</v>
      </c>
      <c r="W39" t="e">
        <f>RTD("streambase.rtd",,"STREAM:AppOut", "FIELD:Symbol", CONCATENATE("TUPLENUM:", ROW()-2))</f>
        <v>#N/A</v>
      </c>
      <c r="X39" t="e">
        <f>RTD("streambase.rtd",,"STREAM:AppOut", "FIELD:OrderStatus", CONCATENATE("TUPLENUM:", ROW()-2))</f>
        <v>#N/A</v>
      </c>
      <c r="Y39" t="e">
        <f>RTD("streambase.rtd",,"STREAM:AppOut", "FIELD:BuySell", CONCATENATE("TUPLENUM:", ROW()-2))</f>
        <v>#N/A</v>
      </c>
      <c r="Z39" t="e">
        <f>RTD("streambase.rtd",,"STREAM:AppOut", "FIELD:Price", CONCATENATE("TUPLENUM:", ROW()-2))</f>
        <v>#N/A</v>
      </c>
      <c r="AA39" t="e">
        <f>RTD("streambase.rtd",,"STREAM:AppOut", "FIELD:OrderQty", CONCATENATE("TUPLENUM:", ROW()-2))</f>
        <v>#N/A</v>
      </c>
      <c r="AB39" t="e">
        <f>RTD("streambase.rtd",,"STREAM:AppOut", "FIELD:CumQty", CONCATENATE("TUPLENUM:", ROW()-2))</f>
        <v>#N/A</v>
      </c>
      <c r="AC39" t="e">
        <f>RTD("streambase.rtd",,"STREAM:AppOut", "FIELD:AvgPx", CONCATENATE("TUPLENUM:", ROW()-2))</f>
        <v>#N/A</v>
      </c>
      <c r="AD39" t="e">
        <f>RTD("streambase.rtd",,"STREAM:AppOut", "FIELD:UpdateNumber", CONCATENATE("TUPLENUM:", ROW()-2))</f>
        <v>#N/A</v>
      </c>
      <c r="AE39" s="11" t="e">
        <f>RTD("streambase.rtd",,"STREAM:AppOut", "FIELD:UpdateTime", CONCATENATE("TUPLENUM:", ROW()-2))</f>
        <v>#N/A</v>
      </c>
      <c r="AF39" t="e">
        <f>RTD("streambase.rtd",,"STREAM:AppOut", "FIELD:ReplacedbyReqID", CONCATENATE("TUPLENUM:", ROW()-2))</f>
        <v>#N/A</v>
      </c>
      <c r="AG39" t="e">
        <f>RTD("streambase.rtd",,"STREAM:AppOut", "FIELD:LeavesQty", CONCATENATE("TUPLENUM:", ROW()-2))</f>
        <v>#N/A</v>
      </c>
      <c r="AH39" t="e">
        <f>RTD("streambase.rtd",,"STREAM:AppOut", "FIELD:Account", CONCATENATE("TUPLENUM:", ROW()-2))</f>
        <v>#N/A</v>
      </c>
      <c r="AI39" t="e">
        <f>RTD("streambase.rtd",,"STREAM:AppOut", "FIELD:TradeDate", CONCATENATE("TUPLENUM:", ROW()-2))</f>
        <v>#N/A</v>
      </c>
    </row>
    <row r="40" spans="1:35">
      <c r="A40" t="str">
        <f>IF(B40="","",RTD("streambase.rtd",,"STREAM:AppOut", "FIELD:OrderStatus", "LOCALFILTER:AppOrdID==""" &amp; $B40 &amp; """"))</f>
        <v/>
      </c>
      <c r="B40" s="15" t="str">
        <f>IF(E40="","",VLOOKUP(E40,Params!O:P,2,FALSE)&amp;"_"&amp;VLOOKUP(F40,Params!R:S,2,FALSE)&amp;"_"&amp;VLOOKUP(G40,Params!U:V,2,FALSE)&amp;"_"&amp;"00"&amp;ROW()-1)</f>
        <v/>
      </c>
      <c r="C40" s="6"/>
      <c r="D40" s="6"/>
      <c r="H40" s="6"/>
      <c r="I40" s="6"/>
      <c r="L40" s="6"/>
      <c r="M40" s="6"/>
      <c r="N40" t="str">
        <f>IF(B40="","",RTD("streambase.rtd",,"STREAM:AppOut", "FIELD:CumQty", "LOCALFILTER:AppOrdID==""" &amp; $B40 &amp; """"))</f>
        <v/>
      </c>
      <c r="O40" t="str">
        <f>IF(B40="","",RTD("streambase.rtd",,"STREAM:AppOut", "FIELD:AvgPx", "LOCALFILTER:AppOrdID==""" &amp; $B40 &amp; """"))</f>
        <v/>
      </c>
      <c r="U40" t="e">
        <f>RTD("streambase.rtd",,"STREAM:AppOut", "FIELD:AppOrdID", CONCATENATE("TUPLENUM:", ROW()-2))</f>
        <v>#N/A</v>
      </c>
      <c r="V40" t="e">
        <f>RTD("streambase.rtd",,"STREAM:AppOut", "FIELD:AppCxlRplID", CONCATENATE("TUPLENUM:", ROW()-2))</f>
        <v>#N/A</v>
      </c>
      <c r="W40" t="e">
        <f>RTD("streambase.rtd",,"STREAM:AppOut", "FIELD:Symbol", CONCATENATE("TUPLENUM:", ROW()-2))</f>
        <v>#N/A</v>
      </c>
      <c r="X40" t="e">
        <f>RTD("streambase.rtd",,"STREAM:AppOut", "FIELD:OrderStatus", CONCATENATE("TUPLENUM:", ROW()-2))</f>
        <v>#N/A</v>
      </c>
      <c r="Y40" t="e">
        <f>RTD("streambase.rtd",,"STREAM:AppOut", "FIELD:BuySell", CONCATENATE("TUPLENUM:", ROW()-2))</f>
        <v>#N/A</v>
      </c>
      <c r="Z40" t="e">
        <f>RTD("streambase.rtd",,"STREAM:AppOut", "FIELD:Price", CONCATENATE("TUPLENUM:", ROW()-2))</f>
        <v>#N/A</v>
      </c>
      <c r="AA40" t="e">
        <f>RTD("streambase.rtd",,"STREAM:AppOut", "FIELD:OrderQty", CONCATENATE("TUPLENUM:", ROW()-2))</f>
        <v>#N/A</v>
      </c>
      <c r="AB40" t="e">
        <f>RTD("streambase.rtd",,"STREAM:AppOut", "FIELD:CumQty", CONCATENATE("TUPLENUM:", ROW()-2))</f>
        <v>#N/A</v>
      </c>
      <c r="AC40" t="e">
        <f>RTD("streambase.rtd",,"STREAM:AppOut", "FIELD:AvgPx", CONCATENATE("TUPLENUM:", ROW()-2))</f>
        <v>#N/A</v>
      </c>
      <c r="AD40" t="e">
        <f>RTD("streambase.rtd",,"STREAM:AppOut", "FIELD:UpdateNumber", CONCATENATE("TUPLENUM:", ROW()-2))</f>
        <v>#N/A</v>
      </c>
      <c r="AE40" s="11" t="e">
        <f>RTD("streambase.rtd",,"STREAM:AppOut", "FIELD:UpdateTime", CONCATENATE("TUPLENUM:", ROW()-2))</f>
        <v>#N/A</v>
      </c>
      <c r="AF40" t="e">
        <f>RTD("streambase.rtd",,"STREAM:AppOut", "FIELD:ReplacedbyReqID", CONCATENATE("TUPLENUM:", ROW()-2))</f>
        <v>#N/A</v>
      </c>
      <c r="AG40" t="e">
        <f>RTD("streambase.rtd",,"STREAM:AppOut", "FIELD:LeavesQty", CONCATENATE("TUPLENUM:", ROW()-2))</f>
        <v>#N/A</v>
      </c>
      <c r="AH40" t="e">
        <f>RTD("streambase.rtd",,"STREAM:AppOut", "FIELD:Account", CONCATENATE("TUPLENUM:", ROW()-2))</f>
        <v>#N/A</v>
      </c>
      <c r="AI40" t="e">
        <f>RTD("streambase.rtd",,"STREAM:AppOut", "FIELD:TradeDate", CONCATENATE("TUPLENUM:", ROW()-2))</f>
        <v>#N/A</v>
      </c>
    </row>
    <row r="41" spans="1:35">
      <c r="A41" t="str">
        <f>IF(B41="","",RTD("streambase.rtd",,"STREAM:AppOut", "FIELD:OrderStatus", "LOCALFILTER:AppOrdID==""" &amp; $B41 &amp; """"))</f>
        <v/>
      </c>
      <c r="B41" s="15" t="str">
        <f>IF(E41="","",VLOOKUP(E41,Params!O:P,2,FALSE)&amp;"_"&amp;VLOOKUP(F41,Params!R:S,2,FALSE)&amp;"_"&amp;VLOOKUP(G41,Params!U:V,2,FALSE)&amp;"_"&amp;"00"&amp;ROW()-1)</f>
        <v/>
      </c>
      <c r="C41" s="6"/>
      <c r="D41" s="6"/>
      <c r="H41" s="6"/>
      <c r="I41" s="6"/>
      <c r="L41" s="6"/>
      <c r="M41" s="6"/>
      <c r="N41" t="str">
        <f>IF(B41="","",RTD("streambase.rtd",,"STREAM:AppOut", "FIELD:CumQty", "LOCALFILTER:AppOrdID==""" &amp; $B41 &amp; """"))</f>
        <v/>
      </c>
      <c r="O41" t="str">
        <f>IF(B41="","",RTD("streambase.rtd",,"STREAM:AppOut", "FIELD:AvgPx", "LOCALFILTER:AppOrdID==""" &amp; $B41 &amp; """"))</f>
        <v/>
      </c>
      <c r="U41" t="e">
        <f>RTD("streambase.rtd",,"STREAM:AppOut", "FIELD:AppOrdID", CONCATENATE("TUPLENUM:", ROW()-2))</f>
        <v>#N/A</v>
      </c>
      <c r="V41" t="e">
        <f>RTD("streambase.rtd",,"STREAM:AppOut", "FIELD:AppCxlRplID", CONCATENATE("TUPLENUM:", ROW()-2))</f>
        <v>#N/A</v>
      </c>
      <c r="W41" t="e">
        <f>RTD("streambase.rtd",,"STREAM:AppOut", "FIELD:Symbol", CONCATENATE("TUPLENUM:", ROW()-2))</f>
        <v>#N/A</v>
      </c>
      <c r="X41" t="e">
        <f>RTD("streambase.rtd",,"STREAM:AppOut", "FIELD:OrderStatus", CONCATENATE("TUPLENUM:", ROW()-2))</f>
        <v>#N/A</v>
      </c>
      <c r="Y41" t="e">
        <f>RTD("streambase.rtd",,"STREAM:AppOut", "FIELD:BuySell", CONCATENATE("TUPLENUM:", ROW()-2))</f>
        <v>#N/A</v>
      </c>
      <c r="Z41" t="e">
        <f>RTD("streambase.rtd",,"STREAM:AppOut", "FIELD:Price", CONCATENATE("TUPLENUM:", ROW()-2))</f>
        <v>#N/A</v>
      </c>
      <c r="AA41" t="e">
        <f>RTD("streambase.rtd",,"STREAM:AppOut", "FIELD:OrderQty", CONCATENATE("TUPLENUM:", ROW()-2))</f>
        <v>#N/A</v>
      </c>
      <c r="AB41" t="e">
        <f>RTD("streambase.rtd",,"STREAM:AppOut", "FIELD:CumQty", CONCATENATE("TUPLENUM:", ROW()-2))</f>
        <v>#N/A</v>
      </c>
      <c r="AC41" t="e">
        <f>RTD("streambase.rtd",,"STREAM:AppOut", "FIELD:AvgPx", CONCATENATE("TUPLENUM:", ROW()-2))</f>
        <v>#N/A</v>
      </c>
      <c r="AD41" t="e">
        <f>RTD("streambase.rtd",,"STREAM:AppOut", "FIELD:UpdateNumber", CONCATENATE("TUPLENUM:", ROW()-2))</f>
        <v>#N/A</v>
      </c>
      <c r="AE41" s="11" t="e">
        <f>RTD("streambase.rtd",,"STREAM:AppOut", "FIELD:UpdateTime", CONCATENATE("TUPLENUM:", ROW()-2))</f>
        <v>#N/A</v>
      </c>
      <c r="AF41" t="e">
        <f>RTD("streambase.rtd",,"STREAM:AppOut", "FIELD:ReplacedbyReqID", CONCATENATE("TUPLENUM:", ROW()-2))</f>
        <v>#N/A</v>
      </c>
      <c r="AG41" t="e">
        <f>RTD("streambase.rtd",,"STREAM:AppOut", "FIELD:LeavesQty", CONCATENATE("TUPLENUM:", ROW()-2))</f>
        <v>#N/A</v>
      </c>
      <c r="AH41" t="e">
        <f>RTD("streambase.rtd",,"STREAM:AppOut", "FIELD:Account", CONCATENATE("TUPLENUM:", ROW()-2))</f>
        <v>#N/A</v>
      </c>
      <c r="AI41" t="e">
        <f>RTD("streambase.rtd",,"STREAM:AppOut", "FIELD:TradeDate", CONCATENATE("TUPLENUM:", ROW()-2))</f>
        <v>#N/A</v>
      </c>
    </row>
    <row r="42" spans="1:35">
      <c r="A42" t="str">
        <f>IF(B42="","",RTD("streambase.rtd",,"STREAM:AppOut", "FIELD:OrderStatus", "LOCALFILTER:AppOrdID==""" &amp; $B42 &amp; """"))</f>
        <v/>
      </c>
      <c r="B42" s="15" t="str">
        <f>IF(E42="","",VLOOKUP(E42,Params!O:P,2,FALSE)&amp;"_"&amp;VLOOKUP(F42,Params!R:S,2,FALSE)&amp;"_"&amp;VLOOKUP(G42,Params!U:V,2,FALSE)&amp;"_"&amp;"00"&amp;ROW()-1)</f>
        <v/>
      </c>
      <c r="C42" s="6"/>
      <c r="D42" s="6"/>
      <c r="H42" s="6"/>
      <c r="I42" s="6"/>
      <c r="L42" s="6"/>
      <c r="M42" s="6"/>
      <c r="N42" t="str">
        <f>IF(B42="","",RTD("streambase.rtd",,"STREAM:AppOut", "FIELD:CumQty", "LOCALFILTER:AppOrdID==""" &amp; $B42 &amp; """"))</f>
        <v/>
      </c>
      <c r="O42" t="str">
        <f>IF(B42="","",RTD("streambase.rtd",,"STREAM:AppOut", "FIELD:AvgPx", "LOCALFILTER:AppOrdID==""" &amp; $B42 &amp; """"))</f>
        <v/>
      </c>
      <c r="U42" t="e">
        <f>RTD("streambase.rtd",,"STREAM:AppOut", "FIELD:AppOrdID", CONCATENATE("TUPLENUM:", ROW()-2))</f>
        <v>#N/A</v>
      </c>
      <c r="V42" t="e">
        <f>RTD("streambase.rtd",,"STREAM:AppOut", "FIELD:AppCxlRplID", CONCATENATE("TUPLENUM:", ROW()-2))</f>
        <v>#N/A</v>
      </c>
      <c r="W42" t="e">
        <f>RTD("streambase.rtd",,"STREAM:AppOut", "FIELD:Symbol", CONCATENATE("TUPLENUM:", ROW()-2))</f>
        <v>#N/A</v>
      </c>
      <c r="X42" t="e">
        <f>RTD("streambase.rtd",,"STREAM:AppOut", "FIELD:OrderStatus", CONCATENATE("TUPLENUM:", ROW()-2))</f>
        <v>#N/A</v>
      </c>
      <c r="Y42" t="e">
        <f>RTD("streambase.rtd",,"STREAM:AppOut", "FIELD:BuySell", CONCATENATE("TUPLENUM:", ROW()-2))</f>
        <v>#N/A</v>
      </c>
      <c r="Z42" t="e">
        <f>RTD("streambase.rtd",,"STREAM:AppOut", "FIELD:Price", CONCATENATE("TUPLENUM:", ROW()-2))</f>
        <v>#N/A</v>
      </c>
      <c r="AA42" t="e">
        <f>RTD("streambase.rtd",,"STREAM:AppOut", "FIELD:OrderQty", CONCATENATE("TUPLENUM:", ROW()-2))</f>
        <v>#N/A</v>
      </c>
      <c r="AB42" t="e">
        <f>RTD("streambase.rtd",,"STREAM:AppOut", "FIELD:CumQty", CONCATENATE("TUPLENUM:", ROW()-2))</f>
        <v>#N/A</v>
      </c>
      <c r="AC42" t="e">
        <f>RTD("streambase.rtd",,"STREAM:AppOut", "FIELD:AvgPx", CONCATENATE("TUPLENUM:", ROW()-2))</f>
        <v>#N/A</v>
      </c>
      <c r="AD42" t="e">
        <f>RTD("streambase.rtd",,"STREAM:AppOut", "FIELD:UpdateNumber", CONCATENATE("TUPLENUM:", ROW()-2))</f>
        <v>#N/A</v>
      </c>
      <c r="AE42" s="11" t="e">
        <f>RTD("streambase.rtd",,"STREAM:AppOut", "FIELD:UpdateTime", CONCATENATE("TUPLENUM:", ROW()-2))</f>
        <v>#N/A</v>
      </c>
      <c r="AF42" t="e">
        <f>RTD("streambase.rtd",,"STREAM:AppOut", "FIELD:ReplacedbyReqID", CONCATENATE("TUPLENUM:", ROW()-2))</f>
        <v>#N/A</v>
      </c>
      <c r="AG42" t="e">
        <f>RTD("streambase.rtd",,"STREAM:AppOut", "FIELD:LeavesQty", CONCATENATE("TUPLENUM:", ROW()-2))</f>
        <v>#N/A</v>
      </c>
      <c r="AH42" t="e">
        <f>RTD("streambase.rtd",,"STREAM:AppOut", "FIELD:Account", CONCATENATE("TUPLENUM:", ROW()-2))</f>
        <v>#N/A</v>
      </c>
      <c r="AI42" t="e">
        <f>RTD("streambase.rtd",,"STREAM:AppOut", "FIELD:TradeDate", CONCATENATE("TUPLENUM:", ROW()-2))</f>
        <v>#N/A</v>
      </c>
    </row>
    <row r="43" spans="1:35">
      <c r="A43" t="str">
        <f>IF(B43="","",RTD("streambase.rtd",,"STREAM:AppOut", "FIELD:OrderStatus", "LOCALFILTER:AppOrdID==""" &amp; $B43 &amp; """"))</f>
        <v/>
      </c>
      <c r="B43" s="15" t="str">
        <f>IF(E43="","",VLOOKUP(E43,Params!O:P,2,FALSE)&amp;"_"&amp;VLOOKUP(F43,Params!R:S,2,FALSE)&amp;"_"&amp;VLOOKUP(G43,Params!U:V,2,FALSE)&amp;"_"&amp;"00"&amp;ROW()-1)</f>
        <v/>
      </c>
      <c r="C43" s="6"/>
      <c r="D43" s="6"/>
      <c r="H43" s="6"/>
      <c r="I43" s="6"/>
      <c r="L43" s="6"/>
      <c r="M43" s="6"/>
      <c r="N43" t="str">
        <f>IF(B43="","",RTD("streambase.rtd",,"STREAM:AppOut", "FIELD:CumQty", "LOCALFILTER:AppOrdID==""" &amp; $B43 &amp; """"))</f>
        <v/>
      </c>
      <c r="O43" t="str">
        <f>IF(B43="","",RTD("streambase.rtd",,"STREAM:AppOut", "FIELD:AvgPx", "LOCALFILTER:AppOrdID==""" &amp; $B43 &amp; """"))</f>
        <v/>
      </c>
      <c r="U43" t="e">
        <f>RTD("streambase.rtd",,"STREAM:AppOut", "FIELD:AppOrdID", CONCATENATE("TUPLENUM:", ROW()-2))</f>
        <v>#N/A</v>
      </c>
      <c r="V43" t="e">
        <f>RTD("streambase.rtd",,"STREAM:AppOut", "FIELD:AppCxlRplID", CONCATENATE("TUPLENUM:", ROW()-2))</f>
        <v>#N/A</v>
      </c>
      <c r="W43" t="e">
        <f>RTD("streambase.rtd",,"STREAM:AppOut", "FIELD:Symbol", CONCATENATE("TUPLENUM:", ROW()-2))</f>
        <v>#N/A</v>
      </c>
      <c r="X43" t="e">
        <f>RTD("streambase.rtd",,"STREAM:AppOut", "FIELD:OrderStatus", CONCATENATE("TUPLENUM:", ROW()-2))</f>
        <v>#N/A</v>
      </c>
      <c r="Y43" t="e">
        <f>RTD("streambase.rtd",,"STREAM:AppOut", "FIELD:BuySell", CONCATENATE("TUPLENUM:", ROW()-2))</f>
        <v>#N/A</v>
      </c>
      <c r="Z43" t="e">
        <f>RTD("streambase.rtd",,"STREAM:AppOut", "FIELD:Price", CONCATENATE("TUPLENUM:", ROW()-2))</f>
        <v>#N/A</v>
      </c>
      <c r="AA43" t="e">
        <f>RTD("streambase.rtd",,"STREAM:AppOut", "FIELD:OrderQty", CONCATENATE("TUPLENUM:", ROW()-2))</f>
        <v>#N/A</v>
      </c>
      <c r="AB43" t="e">
        <f>RTD("streambase.rtd",,"STREAM:AppOut", "FIELD:CumQty", CONCATENATE("TUPLENUM:", ROW()-2))</f>
        <v>#N/A</v>
      </c>
      <c r="AC43" t="e">
        <f>RTD("streambase.rtd",,"STREAM:AppOut", "FIELD:AvgPx", CONCATENATE("TUPLENUM:", ROW()-2))</f>
        <v>#N/A</v>
      </c>
      <c r="AD43" t="e">
        <f>RTD("streambase.rtd",,"STREAM:AppOut", "FIELD:UpdateNumber", CONCATENATE("TUPLENUM:", ROW()-2))</f>
        <v>#N/A</v>
      </c>
      <c r="AE43" s="11" t="e">
        <f>RTD("streambase.rtd",,"STREAM:AppOut", "FIELD:UpdateTime", CONCATENATE("TUPLENUM:", ROW()-2))</f>
        <v>#N/A</v>
      </c>
      <c r="AF43" t="e">
        <f>RTD("streambase.rtd",,"STREAM:AppOut", "FIELD:ReplacedbyReqID", CONCATENATE("TUPLENUM:", ROW()-2))</f>
        <v>#N/A</v>
      </c>
      <c r="AG43" t="e">
        <f>RTD("streambase.rtd",,"STREAM:AppOut", "FIELD:LeavesQty", CONCATENATE("TUPLENUM:", ROW()-2))</f>
        <v>#N/A</v>
      </c>
      <c r="AH43" t="e">
        <f>RTD("streambase.rtd",,"STREAM:AppOut", "FIELD:Account", CONCATENATE("TUPLENUM:", ROW()-2))</f>
        <v>#N/A</v>
      </c>
      <c r="AI43" t="e">
        <f>RTD("streambase.rtd",,"STREAM:AppOut", "FIELD:TradeDate", CONCATENATE("TUPLENUM:", ROW()-2))</f>
        <v>#N/A</v>
      </c>
    </row>
    <row r="44" spans="1:35">
      <c r="A44" t="str">
        <f>IF(B44="","",RTD("streambase.rtd",,"STREAM:AppOut", "FIELD:OrderStatus", "LOCALFILTER:AppOrdID==""" &amp; $B44 &amp; """"))</f>
        <v/>
      </c>
      <c r="B44" s="15" t="str">
        <f>IF(E44="","",VLOOKUP(E44,Params!O:P,2,FALSE)&amp;"_"&amp;VLOOKUP(F44,Params!R:S,2,FALSE)&amp;"_"&amp;VLOOKUP(G44,Params!U:V,2,FALSE)&amp;"_"&amp;"00"&amp;ROW()-1)</f>
        <v/>
      </c>
      <c r="C44" s="6"/>
      <c r="D44" s="6"/>
      <c r="H44" s="6"/>
      <c r="I44" s="6"/>
      <c r="L44" s="6"/>
      <c r="M44" s="6"/>
      <c r="N44" t="str">
        <f>IF(B44="","",RTD("streambase.rtd",,"STREAM:AppOut", "FIELD:CumQty", "LOCALFILTER:AppOrdID==""" &amp; $B44 &amp; """"))</f>
        <v/>
      </c>
      <c r="O44" t="str">
        <f>IF(B44="","",RTD("streambase.rtd",,"STREAM:AppOut", "FIELD:AvgPx", "LOCALFILTER:AppOrdID==""" &amp; $B44 &amp; """"))</f>
        <v/>
      </c>
      <c r="U44" t="e">
        <f>RTD("streambase.rtd",,"STREAM:AppOut", "FIELD:AppOrdID", CONCATENATE("TUPLENUM:", ROW()-2))</f>
        <v>#N/A</v>
      </c>
      <c r="V44" t="e">
        <f>RTD("streambase.rtd",,"STREAM:AppOut", "FIELD:AppCxlRplID", CONCATENATE("TUPLENUM:", ROW()-2))</f>
        <v>#N/A</v>
      </c>
      <c r="W44" t="e">
        <f>RTD("streambase.rtd",,"STREAM:AppOut", "FIELD:Symbol", CONCATENATE("TUPLENUM:", ROW()-2))</f>
        <v>#N/A</v>
      </c>
      <c r="X44" t="e">
        <f>RTD("streambase.rtd",,"STREAM:AppOut", "FIELD:OrderStatus", CONCATENATE("TUPLENUM:", ROW()-2))</f>
        <v>#N/A</v>
      </c>
      <c r="Y44" t="e">
        <f>RTD("streambase.rtd",,"STREAM:AppOut", "FIELD:BuySell", CONCATENATE("TUPLENUM:", ROW()-2))</f>
        <v>#N/A</v>
      </c>
      <c r="Z44" t="e">
        <f>RTD("streambase.rtd",,"STREAM:AppOut", "FIELD:Price", CONCATENATE("TUPLENUM:", ROW()-2))</f>
        <v>#N/A</v>
      </c>
      <c r="AA44" t="e">
        <f>RTD("streambase.rtd",,"STREAM:AppOut", "FIELD:OrderQty", CONCATENATE("TUPLENUM:", ROW()-2))</f>
        <v>#N/A</v>
      </c>
      <c r="AB44" t="e">
        <f>RTD("streambase.rtd",,"STREAM:AppOut", "FIELD:CumQty", CONCATENATE("TUPLENUM:", ROW()-2))</f>
        <v>#N/A</v>
      </c>
      <c r="AC44" t="e">
        <f>RTD("streambase.rtd",,"STREAM:AppOut", "FIELD:AvgPx", CONCATENATE("TUPLENUM:", ROW()-2))</f>
        <v>#N/A</v>
      </c>
      <c r="AD44" t="e">
        <f>RTD("streambase.rtd",,"STREAM:AppOut", "FIELD:UpdateNumber", CONCATENATE("TUPLENUM:", ROW()-2))</f>
        <v>#N/A</v>
      </c>
      <c r="AE44" s="11" t="e">
        <f>RTD("streambase.rtd",,"STREAM:AppOut", "FIELD:UpdateTime", CONCATENATE("TUPLENUM:", ROW()-2))</f>
        <v>#N/A</v>
      </c>
      <c r="AF44" t="e">
        <f>RTD("streambase.rtd",,"STREAM:AppOut", "FIELD:ReplacedbyReqID", CONCATENATE("TUPLENUM:", ROW()-2))</f>
        <v>#N/A</v>
      </c>
      <c r="AG44" t="e">
        <f>RTD("streambase.rtd",,"STREAM:AppOut", "FIELD:LeavesQty", CONCATENATE("TUPLENUM:", ROW()-2))</f>
        <v>#N/A</v>
      </c>
      <c r="AH44" t="e">
        <f>RTD("streambase.rtd",,"STREAM:AppOut", "FIELD:Account", CONCATENATE("TUPLENUM:", ROW()-2))</f>
        <v>#N/A</v>
      </c>
      <c r="AI44" t="e">
        <f>RTD("streambase.rtd",,"STREAM:AppOut", "FIELD:TradeDate", CONCATENATE("TUPLENUM:", ROW()-2))</f>
        <v>#N/A</v>
      </c>
    </row>
    <row r="45" spans="1:35">
      <c r="A45" t="str">
        <f>IF(B45="","",RTD("streambase.rtd",,"STREAM:AppOut", "FIELD:OrderStatus", "LOCALFILTER:AppOrdID==""" &amp; $B45 &amp; """"))</f>
        <v/>
      </c>
      <c r="B45" s="15" t="str">
        <f>IF(E45="","",VLOOKUP(E45,Params!O:P,2,FALSE)&amp;"_"&amp;VLOOKUP(F45,Params!R:S,2,FALSE)&amp;"_"&amp;VLOOKUP(G45,Params!U:V,2,FALSE)&amp;"_"&amp;"00"&amp;ROW()-1)</f>
        <v/>
      </c>
      <c r="C45" s="6"/>
      <c r="D45" s="6"/>
      <c r="H45" s="6"/>
      <c r="I45" s="6"/>
      <c r="L45" s="6"/>
      <c r="M45" s="6"/>
      <c r="N45" t="str">
        <f>IF(B45="","",RTD("streambase.rtd",,"STREAM:AppOut", "FIELD:CumQty", "LOCALFILTER:AppOrdID==""" &amp; $B45 &amp; """"))</f>
        <v/>
      </c>
      <c r="O45" t="str">
        <f>IF(B45="","",RTD("streambase.rtd",,"STREAM:AppOut", "FIELD:AvgPx", "LOCALFILTER:AppOrdID==""" &amp; $B45 &amp; """"))</f>
        <v/>
      </c>
      <c r="U45" t="e">
        <f>RTD("streambase.rtd",,"STREAM:AppOut", "FIELD:AppOrdID", CONCATENATE("TUPLENUM:", ROW()-2))</f>
        <v>#N/A</v>
      </c>
      <c r="V45" t="e">
        <f>RTD("streambase.rtd",,"STREAM:AppOut", "FIELD:AppCxlRplID", CONCATENATE("TUPLENUM:", ROW()-2))</f>
        <v>#N/A</v>
      </c>
      <c r="W45" t="e">
        <f>RTD("streambase.rtd",,"STREAM:AppOut", "FIELD:Symbol", CONCATENATE("TUPLENUM:", ROW()-2))</f>
        <v>#N/A</v>
      </c>
      <c r="X45" t="e">
        <f>RTD("streambase.rtd",,"STREAM:AppOut", "FIELD:OrderStatus", CONCATENATE("TUPLENUM:", ROW()-2))</f>
        <v>#N/A</v>
      </c>
      <c r="Y45" t="e">
        <f>RTD("streambase.rtd",,"STREAM:AppOut", "FIELD:BuySell", CONCATENATE("TUPLENUM:", ROW()-2))</f>
        <v>#N/A</v>
      </c>
      <c r="Z45" t="e">
        <f>RTD("streambase.rtd",,"STREAM:AppOut", "FIELD:Price", CONCATENATE("TUPLENUM:", ROW()-2))</f>
        <v>#N/A</v>
      </c>
      <c r="AA45" t="e">
        <f>RTD("streambase.rtd",,"STREAM:AppOut", "FIELD:OrderQty", CONCATENATE("TUPLENUM:", ROW()-2))</f>
        <v>#N/A</v>
      </c>
      <c r="AB45" t="e">
        <f>RTD("streambase.rtd",,"STREAM:AppOut", "FIELD:CumQty", CONCATENATE("TUPLENUM:", ROW()-2))</f>
        <v>#N/A</v>
      </c>
      <c r="AC45" t="e">
        <f>RTD("streambase.rtd",,"STREAM:AppOut", "FIELD:AvgPx", CONCATENATE("TUPLENUM:", ROW()-2))</f>
        <v>#N/A</v>
      </c>
      <c r="AD45" t="e">
        <f>RTD("streambase.rtd",,"STREAM:AppOut", "FIELD:UpdateNumber", CONCATENATE("TUPLENUM:", ROW()-2))</f>
        <v>#N/A</v>
      </c>
      <c r="AE45" s="11" t="e">
        <f>RTD("streambase.rtd",,"STREAM:AppOut", "FIELD:UpdateTime", CONCATENATE("TUPLENUM:", ROW()-2))</f>
        <v>#N/A</v>
      </c>
      <c r="AF45" t="e">
        <f>RTD("streambase.rtd",,"STREAM:AppOut", "FIELD:ReplacedbyReqID", CONCATENATE("TUPLENUM:", ROW()-2))</f>
        <v>#N/A</v>
      </c>
      <c r="AG45" t="e">
        <f>RTD("streambase.rtd",,"STREAM:AppOut", "FIELD:LeavesQty", CONCATENATE("TUPLENUM:", ROW()-2))</f>
        <v>#N/A</v>
      </c>
      <c r="AH45" t="e">
        <f>RTD("streambase.rtd",,"STREAM:AppOut", "FIELD:Account", CONCATENATE("TUPLENUM:", ROW()-2))</f>
        <v>#N/A</v>
      </c>
      <c r="AI45" t="e">
        <f>RTD("streambase.rtd",,"STREAM:AppOut", "FIELD:TradeDate", CONCATENATE("TUPLENUM:", ROW()-2))</f>
        <v>#N/A</v>
      </c>
    </row>
    <row r="46" spans="1:35">
      <c r="A46" t="str">
        <f>IF(B46="","",RTD("streambase.rtd",,"STREAM:AppOut", "FIELD:OrderStatus", "LOCALFILTER:AppOrdID==""" &amp; $B46 &amp; """"))</f>
        <v/>
      </c>
      <c r="B46" s="15" t="str">
        <f>IF(E46="","",VLOOKUP(E46,Params!O:P,2,FALSE)&amp;"_"&amp;VLOOKUP(F46,Params!R:S,2,FALSE)&amp;"_"&amp;VLOOKUP(G46,Params!U:V,2,FALSE)&amp;"_"&amp;"00"&amp;ROW()-1)</f>
        <v/>
      </c>
      <c r="C46" s="6"/>
      <c r="D46" s="6"/>
      <c r="H46" s="6"/>
      <c r="I46" s="6"/>
      <c r="L46" s="6"/>
      <c r="M46" s="6"/>
      <c r="N46" t="str">
        <f>IF(B46="","",RTD("streambase.rtd",,"STREAM:AppOut", "FIELD:CumQty", "LOCALFILTER:AppOrdID==""" &amp; $B46 &amp; """"))</f>
        <v/>
      </c>
      <c r="O46" t="str">
        <f>IF(B46="","",RTD("streambase.rtd",,"STREAM:AppOut", "FIELD:AvgPx", "LOCALFILTER:AppOrdID==""" &amp; $B46 &amp; """"))</f>
        <v/>
      </c>
      <c r="U46" t="e">
        <f>RTD("streambase.rtd",,"STREAM:AppOut", "FIELD:AppOrdID", CONCATENATE("TUPLENUM:", ROW()-2))</f>
        <v>#N/A</v>
      </c>
      <c r="V46" t="e">
        <f>RTD("streambase.rtd",,"STREAM:AppOut", "FIELD:AppCxlRplID", CONCATENATE("TUPLENUM:", ROW()-2))</f>
        <v>#N/A</v>
      </c>
      <c r="W46" t="e">
        <f>RTD("streambase.rtd",,"STREAM:AppOut", "FIELD:Symbol", CONCATENATE("TUPLENUM:", ROW()-2))</f>
        <v>#N/A</v>
      </c>
      <c r="X46" t="e">
        <f>RTD("streambase.rtd",,"STREAM:AppOut", "FIELD:OrderStatus", CONCATENATE("TUPLENUM:", ROW()-2))</f>
        <v>#N/A</v>
      </c>
      <c r="Y46" t="e">
        <f>RTD("streambase.rtd",,"STREAM:AppOut", "FIELD:BuySell", CONCATENATE("TUPLENUM:", ROW()-2))</f>
        <v>#N/A</v>
      </c>
      <c r="Z46" t="e">
        <f>RTD("streambase.rtd",,"STREAM:AppOut", "FIELD:Price", CONCATENATE("TUPLENUM:", ROW()-2))</f>
        <v>#N/A</v>
      </c>
      <c r="AA46" t="e">
        <f>RTD("streambase.rtd",,"STREAM:AppOut", "FIELD:OrderQty", CONCATENATE("TUPLENUM:", ROW()-2))</f>
        <v>#N/A</v>
      </c>
      <c r="AB46" t="e">
        <f>RTD("streambase.rtd",,"STREAM:AppOut", "FIELD:CumQty", CONCATENATE("TUPLENUM:", ROW()-2))</f>
        <v>#N/A</v>
      </c>
      <c r="AC46" t="e">
        <f>RTD("streambase.rtd",,"STREAM:AppOut", "FIELD:AvgPx", CONCATENATE("TUPLENUM:", ROW()-2))</f>
        <v>#N/A</v>
      </c>
      <c r="AD46" t="e">
        <f>RTD("streambase.rtd",,"STREAM:AppOut", "FIELD:UpdateNumber", CONCATENATE("TUPLENUM:", ROW()-2))</f>
        <v>#N/A</v>
      </c>
      <c r="AE46" s="11" t="e">
        <f>RTD("streambase.rtd",,"STREAM:AppOut", "FIELD:UpdateTime", CONCATENATE("TUPLENUM:", ROW()-2))</f>
        <v>#N/A</v>
      </c>
      <c r="AF46" t="e">
        <f>RTD("streambase.rtd",,"STREAM:AppOut", "FIELD:ReplacedbyReqID", CONCATENATE("TUPLENUM:", ROW()-2))</f>
        <v>#N/A</v>
      </c>
      <c r="AG46" t="e">
        <f>RTD("streambase.rtd",,"STREAM:AppOut", "FIELD:LeavesQty", CONCATENATE("TUPLENUM:", ROW()-2))</f>
        <v>#N/A</v>
      </c>
      <c r="AH46" t="e">
        <f>RTD("streambase.rtd",,"STREAM:AppOut", "FIELD:Account", CONCATENATE("TUPLENUM:", ROW()-2))</f>
        <v>#N/A</v>
      </c>
      <c r="AI46" t="e">
        <f>RTD("streambase.rtd",,"STREAM:AppOut", "FIELD:TradeDate", CONCATENATE("TUPLENUM:", ROW()-2))</f>
        <v>#N/A</v>
      </c>
    </row>
    <row r="47" spans="1:35">
      <c r="A47" t="str">
        <f>IF(B47="","",RTD("streambase.rtd",,"STREAM:AppOut", "FIELD:OrderStatus", "LOCALFILTER:AppOrdID==""" &amp; $B47 &amp; """"))</f>
        <v/>
      </c>
      <c r="B47" s="15" t="str">
        <f>IF(E47="","",VLOOKUP(E47,Params!O:P,2,FALSE)&amp;"_"&amp;VLOOKUP(F47,Params!R:S,2,FALSE)&amp;"_"&amp;VLOOKUP(G47,Params!U:V,2,FALSE)&amp;"_"&amp;"00"&amp;ROW()-1)</f>
        <v/>
      </c>
      <c r="C47" s="6"/>
      <c r="D47" s="6"/>
      <c r="H47" s="6"/>
      <c r="I47" s="6"/>
      <c r="L47" s="6"/>
      <c r="M47" s="6"/>
      <c r="N47" t="str">
        <f>IF(B47="","",RTD("streambase.rtd",,"STREAM:AppOut", "FIELD:CumQty", "LOCALFILTER:AppOrdID==""" &amp; $B47 &amp; """"))</f>
        <v/>
      </c>
      <c r="O47" t="str">
        <f>IF(B47="","",RTD("streambase.rtd",,"STREAM:AppOut", "FIELD:AvgPx", "LOCALFILTER:AppOrdID==""" &amp; $B47 &amp; """"))</f>
        <v/>
      </c>
      <c r="U47" t="e">
        <f>RTD("streambase.rtd",,"STREAM:AppOut", "FIELD:AppOrdID", CONCATENATE("TUPLENUM:", ROW()-2))</f>
        <v>#N/A</v>
      </c>
      <c r="V47" t="e">
        <f>RTD("streambase.rtd",,"STREAM:AppOut", "FIELD:AppCxlRplID", CONCATENATE("TUPLENUM:", ROW()-2))</f>
        <v>#N/A</v>
      </c>
      <c r="W47" t="e">
        <f>RTD("streambase.rtd",,"STREAM:AppOut", "FIELD:Symbol", CONCATENATE("TUPLENUM:", ROW()-2))</f>
        <v>#N/A</v>
      </c>
      <c r="X47" t="e">
        <f>RTD("streambase.rtd",,"STREAM:AppOut", "FIELD:OrderStatus", CONCATENATE("TUPLENUM:", ROW()-2))</f>
        <v>#N/A</v>
      </c>
      <c r="Y47" t="e">
        <f>RTD("streambase.rtd",,"STREAM:AppOut", "FIELD:BuySell", CONCATENATE("TUPLENUM:", ROW()-2))</f>
        <v>#N/A</v>
      </c>
      <c r="Z47" t="e">
        <f>RTD("streambase.rtd",,"STREAM:AppOut", "FIELD:Price", CONCATENATE("TUPLENUM:", ROW()-2))</f>
        <v>#N/A</v>
      </c>
      <c r="AA47" t="e">
        <f>RTD("streambase.rtd",,"STREAM:AppOut", "FIELD:OrderQty", CONCATENATE("TUPLENUM:", ROW()-2))</f>
        <v>#N/A</v>
      </c>
      <c r="AB47" t="e">
        <f>RTD("streambase.rtd",,"STREAM:AppOut", "FIELD:CumQty", CONCATENATE("TUPLENUM:", ROW()-2))</f>
        <v>#N/A</v>
      </c>
      <c r="AC47" t="e">
        <f>RTD("streambase.rtd",,"STREAM:AppOut", "FIELD:AvgPx", CONCATENATE("TUPLENUM:", ROW()-2))</f>
        <v>#N/A</v>
      </c>
      <c r="AD47" t="e">
        <f>RTD("streambase.rtd",,"STREAM:AppOut", "FIELD:UpdateNumber", CONCATENATE("TUPLENUM:", ROW()-2))</f>
        <v>#N/A</v>
      </c>
      <c r="AE47" s="11" t="e">
        <f>RTD("streambase.rtd",,"STREAM:AppOut", "FIELD:UpdateTime", CONCATENATE("TUPLENUM:", ROW()-2))</f>
        <v>#N/A</v>
      </c>
      <c r="AF47" t="e">
        <f>RTD("streambase.rtd",,"STREAM:AppOut", "FIELD:ReplacedbyReqID", CONCATENATE("TUPLENUM:", ROW()-2))</f>
        <v>#N/A</v>
      </c>
      <c r="AG47" t="e">
        <f>RTD("streambase.rtd",,"STREAM:AppOut", "FIELD:LeavesQty", CONCATENATE("TUPLENUM:", ROW()-2))</f>
        <v>#N/A</v>
      </c>
      <c r="AH47" t="e">
        <f>RTD("streambase.rtd",,"STREAM:AppOut", "FIELD:Account", CONCATENATE("TUPLENUM:", ROW()-2))</f>
        <v>#N/A</v>
      </c>
      <c r="AI47" t="e">
        <f>RTD("streambase.rtd",,"STREAM:AppOut", "FIELD:TradeDate", CONCATENATE("TUPLENUM:", ROW()-2))</f>
        <v>#N/A</v>
      </c>
    </row>
    <row r="48" spans="1:35">
      <c r="A48" t="str">
        <f>IF(B48="","",RTD("streambase.rtd",,"STREAM:AppOut", "FIELD:OrderStatus", "LOCALFILTER:AppOrdID==""" &amp; $B48 &amp; """"))</f>
        <v/>
      </c>
      <c r="B48" s="15" t="str">
        <f>IF(E48="","",VLOOKUP(E48,Params!O:P,2,FALSE)&amp;"_"&amp;VLOOKUP(F48,Params!R:S,2,FALSE)&amp;"_"&amp;VLOOKUP(G48,Params!U:V,2,FALSE)&amp;"_"&amp;"00"&amp;ROW()-1)</f>
        <v/>
      </c>
      <c r="C48" s="6"/>
      <c r="D48" s="6"/>
      <c r="I48" s="6"/>
      <c r="L48" s="6"/>
      <c r="M48" s="6"/>
      <c r="N48" t="str">
        <f>IF(B48="","",RTD("streambase.rtd",,"STREAM:AppOut", "FIELD:CumQty", "LOCALFILTER:AppOrdID==""" &amp; $B48 &amp; """"))</f>
        <v/>
      </c>
      <c r="O48" t="str">
        <f>IF(B48="","",RTD("streambase.rtd",,"STREAM:AppOut", "FIELD:AvgPx", "LOCALFILTER:AppOrdID==""" &amp; $B48 &amp; """"))</f>
        <v/>
      </c>
      <c r="U48" t="e">
        <f>RTD("streambase.rtd",,"STREAM:AppOut", "FIELD:AppOrdID", CONCATENATE("TUPLENUM:", ROW()-2))</f>
        <v>#N/A</v>
      </c>
      <c r="V48" t="e">
        <f>RTD("streambase.rtd",,"STREAM:AppOut", "FIELD:AppCxlRplID", CONCATENATE("TUPLENUM:", ROW()-2))</f>
        <v>#N/A</v>
      </c>
      <c r="W48" t="e">
        <f>RTD("streambase.rtd",,"STREAM:AppOut", "FIELD:Symbol", CONCATENATE("TUPLENUM:", ROW()-2))</f>
        <v>#N/A</v>
      </c>
      <c r="X48" t="e">
        <f>RTD("streambase.rtd",,"STREAM:AppOut", "FIELD:OrderStatus", CONCATENATE("TUPLENUM:", ROW()-2))</f>
        <v>#N/A</v>
      </c>
      <c r="Y48" t="e">
        <f>RTD("streambase.rtd",,"STREAM:AppOut", "FIELD:BuySell", CONCATENATE("TUPLENUM:", ROW()-2))</f>
        <v>#N/A</v>
      </c>
      <c r="Z48" t="e">
        <f>RTD("streambase.rtd",,"STREAM:AppOut", "FIELD:Price", CONCATENATE("TUPLENUM:", ROW()-2))</f>
        <v>#N/A</v>
      </c>
      <c r="AA48" t="e">
        <f>RTD("streambase.rtd",,"STREAM:AppOut", "FIELD:OrderQty", CONCATENATE("TUPLENUM:", ROW()-2))</f>
        <v>#N/A</v>
      </c>
      <c r="AB48" t="e">
        <f>RTD("streambase.rtd",,"STREAM:AppOut", "FIELD:CumQty", CONCATENATE("TUPLENUM:", ROW()-2))</f>
        <v>#N/A</v>
      </c>
      <c r="AC48" t="e">
        <f>RTD("streambase.rtd",,"STREAM:AppOut", "FIELD:AvgPx", CONCATENATE("TUPLENUM:", ROW()-2))</f>
        <v>#N/A</v>
      </c>
      <c r="AD48" t="e">
        <f>RTD("streambase.rtd",,"STREAM:AppOut", "FIELD:UpdateNumber", CONCATENATE("TUPLENUM:", ROW()-2))</f>
        <v>#N/A</v>
      </c>
      <c r="AE48" s="11" t="e">
        <f>RTD("streambase.rtd",,"STREAM:AppOut", "FIELD:UpdateTime", CONCATENATE("TUPLENUM:", ROW()-2))</f>
        <v>#N/A</v>
      </c>
      <c r="AF48" t="e">
        <f>RTD("streambase.rtd",,"STREAM:AppOut", "FIELD:ReplacedbyReqID", CONCATENATE("TUPLENUM:", ROW()-2))</f>
        <v>#N/A</v>
      </c>
      <c r="AG48" t="e">
        <f>RTD("streambase.rtd",,"STREAM:AppOut", "FIELD:LeavesQty", CONCATENATE("TUPLENUM:", ROW()-2))</f>
        <v>#N/A</v>
      </c>
      <c r="AH48" t="e">
        <f>RTD("streambase.rtd",,"STREAM:AppOut", "FIELD:Account", CONCATENATE("TUPLENUM:", ROW()-2))</f>
        <v>#N/A</v>
      </c>
      <c r="AI48" t="e">
        <f>RTD("streambase.rtd",,"STREAM:AppOut", "FIELD:TradeDate", CONCATENATE("TUPLENUM:", ROW()-2))</f>
        <v>#N/A</v>
      </c>
    </row>
    <row r="49" spans="1:35">
      <c r="A49" t="str">
        <f>IF(B49="","",RTD("streambase.rtd",,"STREAM:AppOut", "FIELD:OrderStatus", "LOCALFILTER:AppOrdID==""" &amp; $B49 &amp; """"))</f>
        <v/>
      </c>
      <c r="B49" s="15" t="str">
        <f>IF(E49="","",VLOOKUP(E49,Params!O:P,2,FALSE)&amp;"_"&amp;VLOOKUP(F49,Params!R:S,2,FALSE)&amp;"_"&amp;VLOOKUP(G49,Params!U:V,2,FALSE)&amp;"_"&amp;"00"&amp;ROW()-1)</f>
        <v/>
      </c>
      <c r="C49" s="6"/>
      <c r="D49" s="6"/>
      <c r="I49" s="6"/>
      <c r="L49" s="6"/>
      <c r="M49" s="6"/>
      <c r="N49" t="str">
        <f>IF(B49="","",RTD("streambase.rtd",,"STREAM:AppOut", "FIELD:CumQty", "LOCALFILTER:AppOrdID==""" &amp; $B49 &amp; """"))</f>
        <v/>
      </c>
      <c r="O49" t="str">
        <f>IF(B49="","",RTD("streambase.rtd",,"STREAM:AppOut", "FIELD:AvgPx", "LOCALFILTER:AppOrdID==""" &amp; $B49 &amp; """"))</f>
        <v/>
      </c>
      <c r="U49" t="e">
        <f>RTD("streambase.rtd",,"STREAM:AppOut", "FIELD:AppOrdID", CONCATENATE("TUPLENUM:", ROW()-2))</f>
        <v>#N/A</v>
      </c>
      <c r="V49" t="e">
        <f>RTD("streambase.rtd",,"STREAM:AppOut", "FIELD:AppCxlRplID", CONCATENATE("TUPLENUM:", ROW()-2))</f>
        <v>#N/A</v>
      </c>
      <c r="W49" t="e">
        <f>RTD("streambase.rtd",,"STREAM:AppOut", "FIELD:Symbol", CONCATENATE("TUPLENUM:", ROW()-2))</f>
        <v>#N/A</v>
      </c>
      <c r="X49" t="e">
        <f>RTD("streambase.rtd",,"STREAM:AppOut", "FIELD:OrderStatus", CONCATENATE("TUPLENUM:", ROW()-2))</f>
        <v>#N/A</v>
      </c>
      <c r="Y49" t="e">
        <f>RTD("streambase.rtd",,"STREAM:AppOut", "FIELD:BuySell", CONCATENATE("TUPLENUM:", ROW()-2))</f>
        <v>#N/A</v>
      </c>
      <c r="Z49" t="e">
        <f>RTD("streambase.rtd",,"STREAM:AppOut", "FIELD:Price", CONCATENATE("TUPLENUM:", ROW()-2))</f>
        <v>#N/A</v>
      </c>
      <c r="AA49" t="e">
        <f>RTD("streambase.rtd",,"STREAM:AppOut", "FIELD:OrderQty", CONCATENATE("TUPLENUM:", ROW()-2))</f>
        <v>#N/A</v>
      </c>
      <c r="AB49" t="e">
        <f>RTD("streambase.rtd",,"STREAM:AppOut", "FIELD:CumQty", CONCATENATE("TUPLENUM:", ROW()-2))</f>
        <v>#N/A</v>
      </c>
      <c r="AC49" t="e">
        <f>RTD("streambase.rtd",,"STREAM:AppOut", "FIELD:AvgPx", CONCATENATE("TUPLENUM:", ROW()-2))</f>
        <v>#N/A</v>
      </c>
      <c r="AD49" t="e">
        <f>RTD("streambase.rtd",,"STREAM:AppOut", "FIELD:UpdateNumber", CONCATENATE("TUPLENUM:", ROW()-2))</f>
        <v>#N/A</v>
      </c>
      <c r="AE49" s="11" t="e">
        <f>RTD("streambase.rtd",,"STREAM:AppOut", "FIELD:UpdateTime", CONCATENATE("TUPLENUM:", ROW()-2))</f>
        <v>#N/A</v>
      </c>
      <c r="AF49" t="e">
        <f>RTD("streambase.rtd",,"STREAM:AppOut", "FIELD:ReplacedbyReqID", CONCATENATE("TUPLENUM:", ROW()-2))</f>
        <v>#N/A</v>
      </c>
      <c r="AG49" t="e">
        <f>RTD("streambase.rtd",,"STREAM:AppOut", "FIELD:LeavesQty", CONCATENATE("TUPLENUM:", ROW()-2))</f>
        <v>#N/A</v>
      </c>
      <c r="AH49" t="e">
        <f>RTD("streambase.rtd",,"STREAM:AppOut", "FIELD:Account", CONCATENATE("TUPLENUM:", ROW()-2))</f>
        <v>#N/A</v>
      </c>
      <c r="AI49" t="e">
        <f>RTD("streambase.rtd",,"STREAM:AppOut", "FIELD:TradeDate", CONCATENATE("TUPLENUM:", ROW()-2))</f>
        <v>#N/A</v>
      </c>
    </row>
    <row r="50" spans="1:35">
      <c r="A50" t="str">
        <f>IF(B50="","",RTD("streambase.rtd",,"STREAM:AppOut", "FIELD:OrderStatus", "LOCALFILTER:AppOrdID==""" &amp; $B50 &amp; """"))</f>
        <v/>
      </c>
      <c r="B50" s="15" t="str">
        <f>IF(E50="","",VLOOKUP(E50,Params!O:P,2,FALSE)&amp;"_"&amp;VLOOKUP(F50,Params!R:S,2,FALSE)&amp;"_"&amp;VLOOKUP(G50,Params!U:V,2,FALSE)&amp;"_"&amp;"00"&amp;ROW()-1)</f>
        <v/>
      </c>
      <c r="C50" s="6"/>
      <c r="D50" s="6"/>
      <c r="I50" s="6"/>
      <c r="L50" s="6"/>
      <c r="M50" s="6"/>
      <c r="N50" t="str">
        <f>IF(B50="","",RTD("streambase.rtd",,"STREAM:AppOut", "FIELD:CumQty", "LOCALFILTER:AppOrdID==""" &amp; $B50 &amp; """"))</f>
        <v/>
      </c>
      <c r="O50" t="str">
        <f>IF(B50="","",RTD("streambase.rtd",,"STREAM:AppOut", "FIELD:AvgPx", "LOCALFILTER:AppOrdID==""" &amp; $B50 &amp; """"))</f>
        <v/>
      </c>
      <c r="U50" t="e">
        <f>RTD("streambase.rtd",,"STREAM:AppOut", "FIELD:AppOrdID", CONCATENATE("TUPLENUM:", ROW()-2))</f>
        <v>#N/A</v>
      </c>
      <c r="V50" t="e">
        <f>RTD("streambase.rtd",,"STREAM:AppOut", "FIELD:AppCxlRplID", CONCATENATE("TUPLENUM:", ROW()-2))</f>
        <v>#N/A</v>
      </c>
      <c r="W50" t="e">
        <f>RTD("streambase.rtd",,"STREAM:AppOut", "FIELD:Symbol", CONCATENATE("TUPLENUM:", ROW()-2))</f>
        <v>#N/A</v>
      </c>
      <c r="X50" t="e">
        <f>RTD("streambase.rtd",,"STREAM:AppOut", "FIELD:OrderStatus", CONCATENATE("TUPLENUM:", ROW()-2))</f>
        <v>#N/A</v>
      </c>
      <c r="Y50" t="e">
        <f>RTD("streambase.rtd",,"STREAM:AppOut", "FIELD:BuySell", CONCATENATE("TUPLENUM:", ROW()-2))</f>
        <v>#N/A</v>
      </c>
      <c r="Z50" t="e">
        <f>RTD("streambase.rtd",,"STREAM:AppOut", "FIELD:Price", CONCATENATE("TUPLENUM:", ROW()-2))</f>
        <v>#N/A</v>
      </c>
      <c r="AA50" t="e">
        <f>RTD("streambase.rtd",,"STREAM:AppOut", "FIELD:OrderQty", CONCATENATE("TUPLENUM:", ROW()-2))</f>
        <v>#N/A</v>
      </c>
      <c r="AB50" t="e">
        <f>RTD("streambase.rtd",,"STREAM:AppOut", "FIELD:CumQty", CONCATENATE("TUPLENUM:", ROW()-2))</f>
        <v>#N/A</v>
      </c>
      <c r="AC50" t="e">
        <f>RTD("streambase.rtd",,"STREAM:AppOut", "FIELD:AvgPx", CONCATENATE("TUPLENUM:", ROW()-2))</f>
        <v>#N/A</v>
      </c>
      <c r="AD50" t="e">
        <f>RTD("streambase.rtd",,"STREAM:AppOut", "FIELD:UpdateNumber", CONCATENATE("TUPLENUM:", ROW()-2))</f>
        <v>#N/A</v>
      </c>
      <c r="AE50" s="11" t="e">
        <f>RTD("streambase.rtd",,"STREAM:AppOut", "FIELD:UpdateTime", CONCATENATE("TUPLENUM:", ROW()-2))</f>
        <v>#N/A</v>
      </c>
      <c r="AF50" t="e">
        <f>RTD("streambase.rtd",,"STREAM:AppOut", "FIELD:ReplacedbyReqID", CONCATENATE("TUPLENUM:", ROW()-2))</f>
        <v>#N/A</v>
      </c>
      <c r="AG50" t="e">
        <f>RTD("streambase.rtd",,"STREAM:AppOut", "FIELD:LeavesQty", CONCATENATE("TUPLENUM:", ROW()-2))</f>
        <v>#N/A</v>
      </c>
      <c r="AH50" t="e">
        <f>RTD("streambase.rtd",,"STREAM:AppOut", "FIELD:Account", CONCATENATE("TUPLENUM:", ROW()-2))</f>
        <v>#N/A</v>
      </c>
      <c r="AI50" t="e">
        <f>RTD("streambase.rtd",,"STREAM:AppOut", "FIELD:TradeDate", CONCATENATE("TUPLENUM:", ROW()-2))</f>
        <v>#N/A</v>
      </c>
    </row>
    <row r="51" spans="1:35">
      <c r="A51" t="str">
        <f>IF(B51="","",RTD("streambase.rtd",,"STREAM:AppOut", "FIELD:OrderStatus", "LOCALFILTER:AppOrdID==""" &amp; $B51 &amp; """"))</f>
        <v/>
      </c>
      <c r="B51" s="15" t="str">
        <f>IF(E51="","",VLOOKUP(E51,Params!O:P,2,FALSE)&amp;"_"&amp;VLOOKUP(F51,Params!R:S,2,FALSE)&amp;"_"&amp;VLOOKUP(G51,Params!U:V,2,FALSE)&amp;"_"&amp;"00"&amp;ROW()-1)</f>
        <v/>
      </c>
      <c r="C51" s="6"/>
      <c r="D51" s="6"/>
      <c r="I51" s="6"/>
      <c r="L51" s="6"/>
      <c r="M51" s="6"/>
      <c r="N51" t="str">
        <f>IF(B51="","",RTD("streambase.rtd",,"STREAM:AppOut", "FIELD:CumQty", "LOCALFILTER:AppOrdID==""" &amp; $B51 &amp; """"))</f>
        <v/>
      </c>
      <c r="O51" t="str">
        <f>IF(B51="","",RTD("streambase.rtd",,"STREAM:AppOut", "FIELD:AvgPx", "LOCALFILTER:AppOrdID==""" &amp; $B51 &amp; """"))</f>
        <v/>
      </c>
      <c r="U51" t="e">
        <f>RTD("streambase.rtd",,"STREAM:AppOut", "FIELD:AppOrdID", CONCATENATE("TUPLENUM:", ROW()-2))</f>
        <v>#N/A</v>
      </c>
      <c r="V51" t="e">
        <f>RTD("streambase.rtd",,"STREAM:AppOut", "FIELD:AppCxlRplID", CONCATENATE("TUPLENUM:", ROW()-2))</f>
        <v>#N/A</v>
      </c>
      <c r="W51" t="e">
        <f>RTD("streambase.rtd",,"STREAM:AppOut", "FIELD:Symbol", CONCATENATE("TUPLENUM:", ROW()-2))</f>
        <v>#N/A</v>
      </c>
      <c r="X51" t="e">
        <f>RTD("streambase.rtd",,"STREAM:AppOut", "FIELD:OrderStatus", CONCATENATE("TUPLENUM:", ROW()-2))</f>
        <v>#N/A</v>
      </c>
      <c r="Y51" t="e">
        <f>RTD("streambase.rtd",,"STREAM:AppOut", "FIELD:BuySell", CONCATENATE("TUPLENUM:", ROW()-2))</f>
        <v>#N/A</v>
      </c>
      <c r="Z51" t="e">
        <f>RTD("streambase.rtd",,"STREAM:AppOut", "FIELD:Price", CONCATENATE("TUPLENUM:", ROW()-2))</f>
        <v>#N/A</v>
      </c>
      <c r="AA51" t="e">
        <f>RTD("streambase.rtd",,"STREAM:AppOut", "FIELD:OrderQty", CONCATENATE("TUPLENUM:", ROW()-2))</f>
        <v>#N/A</v>
      </c>
      <c r="AB51" t="e">
        <f>RTD("streambase.rtd",,"STREAM:AppOut", "FIELD:CumQty", CONCATENATE("TUPLENUM:", ROW()-2))</f>
        <v>#N/A</v>
      </c>
      <c r="AC51" t="e">
        <f>RTD("streambase.rtd",,"STREAM:AppOut", "FIELD:AvgPx", CONCATENATE("TUPLENUM:", ROW()-2))</f>
        <v>#N/A</v>
      </c>
      <c r="AD51" t="e">
        <f>RTD("streambase.rtd",,"STREAM:AppOut", "FIELD:UpdateNumber", CONCATENATE("TUPLENUM:", ROW()-2))</f>
        <v>#N/A</v>
      </c>
      <c r="AE51" s="11" t="e">
        <f>RTD("streambase.rtd",,"STREAM:AppOut", "FIELD:UpdateTime", CONCATENATE("TUPLENUM:", ROW()-2))</f>
        <v>#N/A</v>
      </c>
      <c r="AF51" t="e">
        <f>RTD("streambase.rtd",,"STREAM:AppOut", "FIELD:ReplacedbyReqID", CONCATENATE("TUPLENUM:", ROW()-2))</f>
        <v>#N/A</v>
      </c>
      <c r="AG51" t="e">
        <f>RTD("streambase.rtd",,"STREAM:AppOut", "FIELD:LeavesQty", CONCATENATE("TUPLENUM:", ROW()-2))</f>
        <v>#N/A</v>
      </c>
      <c r="AH51" t="e">
        <f>RTD("streambase.rtd",,"STREAM:AppOut", "FIELD:Account", CONCATENATE("TUPLENUM:", ROW()-2))</f>
        <v>#N/A</v>
      </c>
      <c r="AI51" t="e">
        <f>RTD("streambase.rtd",,"STREAM:AppOut", "FIELD:TradeDate", CONCATENATE("TUPLENUM:", ROW()-2))</f>
        <v>#N/A</v>
      </c>
    </row>
    <row r="52" spans="1:35">
      <c r="A52" t="str">
        <f>IF(B52="","",RTD("streambase.rtd",,"STREAM:AppOut", "FIELD:OrderStatus", "LOCALFILTER:AppOrdID==""" &amp; $B52 &amp; """"))</f>
        <v/>
      </c>
      <c r="B52" s="15" t="str">
        <f>IF(E52="","",VLOOKUP(E52,Params!O:P,2,FALSE)&amp;"_"&amp;VLOOKUP(F52,Params!R:S,2,FALSE)&amp;"_"&amp;VLOOKUP(G52,Params!U:V,2,FALSE)&amp;"_"&amp;"00"&amp;ROW()-1)</f>
        <v/>
      </c>
      <c r="C52" s="6"/>
      <c r="D52" s="6"/>
      <c r="I52" s="6"/>
      <c r="L52" s="6"/>
      <c r="M52" s="6"/>
      <c r="N52" t="str">
        <f>IF(B52="","",RTD("streambase.rtd",,"STREAM:AppOut", "FIELD:CumQty", "LOCALFILTER:AppOrdID==""" &amp; $B52 &amp; """"))</f>
        <v/>
      </c>
      <c r="O52" t="str">
        <f>IF(B52="","",RTD("streambase.rtd",,"STREAM:AppOut", "FIELD:AvgPx", "LOCALFILTER:AppOrdID==""" &amp; $B52 &amp; """"))</f>
        <v/>
      </c>
      <c r="U52" t="e">
        <f>RTD("streambase.rtd",,"STREAM:AppOut", "FIELD:AppOrdID", CONCATENATE("TUPLENUM:", ROW()-2))</f>
        <v>#N/A</v>
      </c>
      <c r="V52" t="e">
        <f>RTD("streambase.rtd",,"STREAM:AppOut", "FIELD:AppCxlRplID", CONCATENATE("TUPLENUM:", ROW()-2))</f>
        <v>#N/A</v>
      </c>
      <c r="W52" t="e">
        <f>RTD("streambase.rtd",,"STREAM:AppOut", "FIELD:Symbol", CONCATENATE("TUPLENUM:", ROW()-2))</f>
        <v>#N/A</v>
      </c>
      <c r="X52" t="e">
        <f>RTD("streambase.rtd",,"STREAM:AppOut", "FIELD:OrderStatus", CONCATENATE("TUPLENUM:", ROW()-2))</f>
        <v>#N/A</v>
      </c>
      <c r="Y52" t="e">
        <f>RTD("streambase.rtd",,"STREAM:AppOut", "FIELD:BuySell", CONCATENATE("TUPLENUM:", ROW()-2))</f>
        <v>#N/A</v>
      </c>
      <c r="Z52" t="e">
        <f>RTD("streambase.rtd",,"STREAM:AppOut", "FIELD:Price", CONCATENATE("TUPLENUM:", ROW()-2))</f>
        <v>#N/A</v>
      </c>
      <c r="AA52" t="e">
        <f>RTD("streambase.rtd",,"STREAM:AppOut", "FIELD:OrderQty", CONCATENATE("TUPLENUM:", ROW()-2))</f>
        <v>#N/A</v>
      </c>
      <c r="AB52" t="e">
        <f>RTD("streambase.rtd",,"STREAM:AppOut", "FIELD:CumQty", CONCATENATE("TUPLENUM:", ROW()-2))</f>
        <v>#N/A</v>
      </c>
      <c r="AC52" t="e">
        <f>RTD("streambase.rtd",,"STREAM:AppOut", "FIELD:AvgPx", CONCATENATE("TUPLENUM:", ROW()-2))</f>
        <v>#N/A</v>
      </c>
      <c r="AD52" t="e">
        <f>RTD("streambase.rtd",,"STREAM:AppOut", "FIELD:UpdateNumber", CONCATENATE("TUPLENUM:", ROW()-2))</f>
        <v>#N/A</v>
      </c>
      <c r="AE52" s="11" t="e">
        <f>RTD("streambase.rtd",,"STREAM:AppOut", "FIELD:UpdateTime", CONCATENATE("TUPLENUM:", ROW()-2))</f>
        <v>#N/A</v>
      </c>
      <c r="AF52" t="e">
        <f>RTD("streambase.rtd",,"STREAM:AppOut", "FIELD:ReplacedbyReqID", CONCATENATE("TUPLENUM:", ROW()-2))</f>
        <v>#N/A</v>
      </c>
      <c r="AG52" t="e">
        <f>RTD("streambase.rtd",,"STREAM:AppOut", "FIELD:LeavesQty", CONCATENATE("TUPLENUM:", ROW()-2))</f>
        <v>#N/A</v>
      </c>
      <c r="AH52" t="e">
        <f>RTD("streambase.rtd",,"STREAM:AppOut", "FIELD:Account", CONCATENATE("TUPLENUM:", ROW()-2))</f>
        <v>#N/A</v>
      </c>
      <c r="AI52" t="e">
        <f>RTD("streambase.rtd",,"STREAM:AppOut", "FIELD:TradeDate", CONCATENATE("TUPLENUM:", ROW()-2))</f>
        <v>#N/A</v>
      </c>
    </row>
    <row r="53" spans="1:35">
      <c r="A53" t="str">
        <f>IF(B53="","",RTD("streambase.rtd",,"STREAM:AppOut", "FIELD:OrderStatus", "LOCALFILTER:AppOrdID==""" &amp; $B53 &amp; """"))</f>
        <v/>
      </c>
      <c r="B53" s="15" t="str">
        <f>IF(E53="","",VLOOKUP(E53,Params!O:P,2,FALSE)&amp;"_"&amp;VLOOKUP(F53,Params!R:S,2,FALSE)&amp;"_"&amp;VLOOKUP(G53,Params!U:V,2,FALSE)&amp;"_"&amp;"00"&amp;ROW()-1)</f>
        <v/>
      </c>
      <c r="C53" s="6"/>
      <c r="D53" s="6"/>
      <c r="I53" s="6"/>
      <c r="L53" s="6"/>
      <c r="M53" s="6"/>
      <c r="N53" t="str">
        <f>IF(B53="","",RTD("streambase.rtd",,"STREAM:AppOut", "FIELD:CumQty", "LOCALFILTER:AppOrdID==""" &amp; $B53 &amp; """"))</f>
        <v/>
      </c>
      <c r="O53" t="str">
        <f>IF(B53="","",RTD("streambase.rtd",,"STREAM:AppOut", "FIELD:AvgPx", "LOCALFILTER:AppOrdID==""" &amp; $B53 &amp; """"))</f>
        <v/>
      </c>
      <c r="U53" t="e">
        <f>RTD("streambase.rtd",,"STREAM:AppOut", "FIELD:AppOrdID", CONCATENATE("TUPLENUM:", ROW()-2))</f>
        <v>#N/A</v>
      </c>
      <c r="V53" t="e">
        <f>RTD("streambase.rtd",,"STREAM:AppOut", "FIELD:AppCxlRplID", CONCATENATE("TUPLENUM:", ROW()-2))</f>
        <v>#N/A</v>
      </c>
      <c r="W53" t="e">
        <f>RTD("streambase.rtd",,"STREAM:AppOut", "FIELD:Symbol", CONCATENATE("TUPLENUM:", ROW()-2))</f>
        <v>#N/A</v>
      </c>
      <c r="X53" t="e">
        <f>RTD("streambase.rtd",,"STREAM:AppOut", "FIELD:OrderStatus", CONCATENATE("TUPLENUM:", ROW()-2))</f>
        <v>#N/A</v>
      </c>
      <c r="Y53" t="e">
        <f>RTD("streambase.rtd",,"STREAM:AppOut", "FIELD:BuySell", CONCATENATE("TUPLENUM:", ROW()-2))</f>
        <v>#N/A</v>
      </c>
      <c r="Z53" t="e">
        <f>RTD("streambase.rtd",,"STREAM:AppOut", "FIELD:Price", CONCATENATE("TUPLENUM:", ROW()-2))</f>
        <v>#N/A</v>
      </c>
      <c r="AA53" t="e">
        <f>RTD("streambase.rtd",,"STREAM:AppOut", "FIELD:OrderQty", CONCATENATE("TUPLENUM:", ROW()-2))</f>
        <v>#N/A</v>
      </c>
      <c r="AB53" t="e">
        <f>RTD("streambase.rtd",,"STREAM:AppOut", "FIELD:CumQty", CONCATENATE("TUPLENUM:", ROW()-2))</f>
        <v>#N/A</v>
      </c>
      <c r="AC53" t="e">
        <f>RTD("streambase.rtd",,"STREAM:AppOut", "FIELD:AvgPx", CONCATENATE("TUPLENUM:", ROW()-2))</f>
        <v>#N/A</v>
      </c>
      <c r="AD53" t="e">
        <f>RTD("streambase.rtd",,"STREAM:AppOut", "FIELD:UpdateNumber", CONCATENATE("TUPLENUM:", ROW()-2))</f>
        <v>#N/A</v>
      </c>
      <c r="AE53" s="11" t="e">
        <f>RTD("streambase.rtd",,"STREAM:AppOut", "FIELD:UpdateTime", CONCATENATE("TUPLENUM:", ROW()-2))</f>
        <v>#N/A</v>
      </c>
      <c r="AF53" t="e">
        <f>RTD("streambase.rtd",,"STREAM:AppOut", "FIELD:ReplacedbyReqID", CONCATENATE("TUPLENUM:", ROW()-2))</f>
        <v>#N/A</v>
      </c>
      <c r="AG53" t="e">
        <f>RTD("streambase.rtd",,"STREAM:AppOut", "FIELD:LeavesQty", CONCATENATE("TUPLENUM:", ROW()-2))</f>
        <v>#N/A</v>
      </c>
      <c r="AH53" t="e">
        <f>RTD("streambase.rtd",,"STREAM:AppOut", "FIELD:Account", CONCATENATE("TUPLENUM:", ROW()-2))</f>
        <v>#N/A</v>
      </c>
      <c r="AI53" t="e">
        <f>RTD("streambase.rtd",,"STREAM:AppOut", "FIELD:TradeDate", CONCATENATE("TUPLENUM:", ROW()-2))</f>
        <v>#N/A</v>
      </c>
    </row>
    <row r="54" spans="1:35">
      <c r="A54" t="str">
        <f>IF(B54="","",RTD("streambase.rtd",,"STREAM:AppOut", "FIELD:OrderStatus", "LOCALFILTER:AppOrdID==""" &amp; $B54 &amp; """"))</f>
        <v/>
      </c>
      <c r="B54" s="15" t="str">
        <f>IF(E54="","",VLOOKUP(E54,Params!O:P,2,FALSE)&amp;"_"&amp;VLOOKUP(F54,Params!R:S,2,FALSE)&amp;"_"&amp;VLOOKUP(G54,Params!U:V,2,FALSE)&amp;"_"&amp;"00"&amp;ROW()-1)</f>
        <v/>
      </c>
      <c r="C54" s="6"/>
      <c r="D54" s="6"/>
      <c r="H54" s="6"/>
      <c r="I54" s="6"/>
      <c r="L54" s="6"/>
      <c r="M54" s="6"/>
      <c r="N54" t="str">
        <f>IF(B54="","",RTD("streambase.rtd",,"STREAM:AppOut", "FIELD:CumQty", "LOCALFILTER:AppOrdID==""" &amp; $B54 &amp; """"))</f>
        <v/>
      </c>
      <c r="O54" t="str">
        <f>IF(B54="","",RTD("streambase.rtd",,"STREAM:AppOut", "FIELD:AvgPx", "LOCALFILTER:AppOrdID==""" &amp; $B54 &amp; """"))</f>
        <v/>
      </c>
      <c r="U54" t="e">
        <f>RTD("streambase.rtd",,"STREAM:AppOut", "FIELD:AppOrdID", CONCATENATE("TUPLENUM:", ROW()-2))</f>
        <v>#N/A</v>
      </c>
      <c r="V54" t="e">
        <f>RTD("streambase.rtd",,"STREAM:AppOut", "FIELD:AppCxlRplID", CONCATENATE("TUPLENUM:", ROW()-2))</f>
        <v>#N/A</v>
      </c>
      <c r="W54" t="e">
        <f>RTD("streambase.rtd",,"STREAM:AppOut", "FIELD:Symbol", CONCATENATE("TUPLENUM:", ROW()-2))</f>
        <v>#N/A</v>
      </c>
      <c r="X54" t="e">
        <f>RTD("streambase.rtd",,"STREAM:AppOut", "FIELD:OrderStatus", CONCATENATE("TUPLENUM:", ROW()-2))</f>
        <v>#N/A</v>
      </c>
      <c r="Y54" t="e">
        <f>RTD("streambase.rtd",,"STREAM:AppOut", "FIELD:BuySell", CONCATENATE("TUPLENUM:", ROW()-2))</f>
        <v>#N/A</v>
      </c>
      <c r="Z54" t="e">
        <f>RTD("streambase.rtd",,"STREAM:AppOut", "FIELD:Price", CONCATENATE("TUPLENUM:", ROW()-2))</f>
        <v>#N/A</v>
      </c>
      <c r="AA54" t="e">
        <f>RTD("streambase.rtd",,"STREAM:AppOut", "FIELD:OrderQty", CONCATENATE("TUPLENUM:", ROW()-2))</f>
        <v>#N/A</v>
      </c>
      <c r="AB54" t="e">
        <f>RTD("streambase.rtd",,"STREAM:AppOut", "FIELD:CumQty", CONCATENATE("TUPLENUM:", ROW()-2))</f>
        <v>#N/A</v>
      </c>
      <c r="AC54" t="e">
        <f>RTD("streambase.rtd",,"STREAM:AppOut", "FIELD:AvgPx", CONCATENATE("TUPLENUM:", ROW()-2))</f>
        <v>#N/A</v>
      </c>
      <c r="AD54" t="e">
        <f>RTD("streambase.rtd",,"STREAM:AppOut", "FIELD:UpdateNumber", CONCATENATE("TUPLENUM:", ROW()-2))</f>
        <v>#N/A</v>
      </c>
      <c r="AE54" s="11" t="e">
        <f>RTD("streambase.rtd",,"STREAM:AppOut", "FIELD:UpdateTime", CONCATENATE("TUPLENUM:", ROW()-2))</f>
        <v>#N/A</v>
      </c>
      <c r="AF54" t="e">
        <f>RTD("streambase.rtd",,"STREAM:AppOut", "FIELD:ReplacedbyReqID", CONCATENATE("TUPLENUM:", ROW()-2))</f>
        <v>#N/A</v>
      </c>
      <c r="AG54" t="e">
        <f>RTD("streambase.rtd",,"STREAM:AppOut", "FIELD:LeavesQty", CONCATENATE("TUPLENUM:", ROW()-2))</f>
        <v>#N/A</v>
      </c>
      <c r="AH54" t="e">
        <f>RTD("streambase.rtd",,"STREAM:AppOut", "FIELD:Account", CONCATENATE("TUPLENUM:", ROW()-2))</f>
        <v>#N/A</v>
      </c>
      <c r="AI54" t="e">
        <f>RTD("streambase.rtd",,"STREAM:AppOut", "FIELD:TradeDate", CONCATENATE("TUPLENUM:", ROW()-2))</f>
        <v>#N/A</v>
      </c>
    </row>
    <row r="55" spans="1:35">
      <c r="A55" t="str">
        <f>IF(B55="","",RTD("streambase.rtd",,"STREAM:AppOut", "FIELD:OrderStatus", "LOCALFILTER:AppOrdID==""" &amp; $B55 &amp; """"))</f>
        <v/>
      </c>
      <c r="B55" s="15" t="str">
        <f>IF(E55="","",VLOOKUP(E55,Params!O:P,2,FALSE)&amp;"_"&amp;VLOOKUP(F55,Params!R:S,2,FALSE)&amp;"_"&amp;VLOOKUP(G55,Params!U:V,2,FALSE)&amp;"_"&amp;"00"&amp;ROW()-1)</f>
        <v/>
      </c>
      <c r="C55" s="6"/>
      <c r="D55" s="6"/>
      <c r="H55" s="6"/>
      <c r="I55" s="6"/>
      <c r="L55" s="6"/>
      <c r="M55" s="6"/>
      <c r="N55" t="str">
        <f>IF(B55="","",RTD("streambase.rtd",,"STREAM:AppOut", "FIELD:CumQty", "LOCALFILTER:AppOrdID==""" &amp; $B55 &amp; """"))</f>
        <v/>
      </c>
      <c r="O55" t="str">
        <f>IF(B55="","",RTD("streambase.rtd",,"STREAM:AppOut", "FIELD:AvgPx", "LOCALFILTER:AppOrdID==""" &amp; $B55 &amp; """"))</f>
        <v/>
      </c>
      <c r="U55" t="e">
        <f>RTD("streambase.rtd",,"STREAM:AppOut", "FIELD:AppOrdID", CONCATENATE("TUPLENUM:", ROW()-2))</f>
        <v>#N/A</v>
      </c>
      <c r="V55" t="e">
        <f>RTD("streambase.rtd",,"STREAM:AppOut", "FIELD:AppCxlRplID", CONCATENATE("TUPLENUM:", ROW()-2))</f>
        <v>#N/A</v>
      </c>
      <c r="W55" t="e">
        <f>RTD("streambase.rtd",,"STREAM:AppOut", "FIELD:Symbol", CONCATENATE("TUPLENUM:", ROW()-2))</f>
        <v>#N/A</v>
      </c>
      <c r="X55" t="e">
        <f>RTD("streambase.rtd",,"STREAM:AppOut", "FIELD:OrderStatus", CONCATENATE("TUPLENUM:", ROW()-2))</f>
        <v>#N/A</v>
      </c>
      <c r="Y55" t="e">
        <f>RTD("streambase.rtd",,"STREAM:AppOut", "FIELD:BuySell", CONCATENATE("TUPLENUM:", ROW()-2))</f>
        <v>#N/A</v>
      </c>
      <c r="Z55" t="e">
        <f>RTD("streambase.rtd",,"STREAM:AppOut", "FIELD:Price", CONCATENATE("TUPLENUM:", ROW()-2))</f>
        <v>#N/A</v>
      </c>
      <c r="AA55" t="e">
        <f>RTD("streambase.rtd",,"STREAM:AppOut", "FIELD:OrderQty", CONCATENATE("TUPLENUM:", ROW()-2))</f>
        <v>#N/A</v>
      </c>
      <c r="AB55" t="e">
        <f>RTD("streambase.rtd",,"STREAM:AppOut", "FIELD:CumQty", CONCATENATE("TUPLENUM:", ROW()-2))</f>
        <v>#N/A</v>
      </c>
      <c r="AC55" t="e">
        <f>RTD("streambase.rtd",,"STREAM:AppOut", "FIELD:AvgPx", CONCATENATE("TUPLENUM:", ROW()-2))</f>
        <v>#N/A</v>
      </c>
      <c r="AD55" t="e">
        <f>RTD("streambase.rtd",,"STREAM:AppOut", "FIELD:UpdateNumber", CONCATENATE("TUPLENUM:", ROW()-2))</f>
        <v>#N/A</v>
      </c>
      <c r="AE55" s="11" t="e">
        <f>RTD("streambase.rtd",,"STREAM:AppOut", "FIELD:UpdateTime", CONCATENATE("TUPLENUM:", ROW()-2))</f>
        <v>#N/A</v>
      </c>
      <c r="AF55" t="e">
        <f>RTD("streambase.rtd",,"STREAM:AppOut", "FIELD:ReplacedbyReqID", CONCATENATE("TUPLENUM:", ROW()-2))</f>
        <v>#N/A</v>
      </c>
      <c r="AG55" t="e">
        <f>RTD("streambase.rtd",,"STREAM:AppOut", "FIELD:LeavesQty", CONCATENATE("TUPLENUM:", ROW()-2))</f>
        <v>#N/A</v>
      </c>
      <c r="AH55" t="e">
        <f>RTD("streambase.rtd",,"STREAM:AppOut", "FIELD:Account", CONCATENATE("TUPLENUM:", ROW()-2))</f>
        <v>#N/A</v>
      </c>
      <c r="AI55" t="e">
        <f>RTD("streambase.rtd",,"STREAM:AppOut", "FIELD:TradeDate", CONCATENATE("TUPLENUM:", ROW()-2))</f>
        <v>#N/A</v>
      </c>
    </row>
    <row r="56" spans="1:35">
      <c r="A56" t="str">
        <f>IF(B56="","",RTD("streambase.rtd",,"STREAM:AppOut", "FIELD:OrderStatus", "LOCALFILTER:AppOrdID==""" &amp; $B56 &amp; """"))</f>
        <v/>
      </c>
      <c r="B56" s="15" t="str">
        <f>IF(E56="","",VLOOKUP(E56,Params!O:P,2,FALSE)&amp;"_"&amp;VLOOKUP(F56,Params!R:S,2,FALSE)&amp;"_"&amp;VLOOKUP(G56,Params!U:V,2,FALSE)&amp;"_"&amp;"00"&amp;ROW()-1)</f>
        <v/>
      </c>
      <c r="C56" s="6"/>
      <c r="D56" s="6"/>
      <c r="H56" s="6"/>
      <c r="I56" s="6"/>
      <c r="L56" s="6"/>
      <c r="M56" s="6"/>
      <c r="N56" t="str">
        <f>IF(B56="","",RTD("streambase.rtd",,"STREAM:AppOut", "FIELD:CumQty", "LOCALFILTER:AppOrdID==""" &amp; $B56 &amp; """"))</f>
        <v/>
      </c>
      <c r="O56" t="str">
        <f>IF(B56="","",RTD("streambase.rtd",,"STREAM:AppOut", "FIELD:AvgPx", "LOCALFILTER:AppOrdID==""" &amp; $B56 &amp; """"))</f>
        <v/>
      </c>
      <c r="U56" t="e">
        <f>RTD("streambase.rtd",,"STREAM:AppOut", "FIELD:AppOrdID", CONCATENATE("TUPLENUM:", ROW()-2))</f>
        <v>#N/A</v>
      </c>
      <c r="V56" t="e">
        <f>RTD("streambase.rtd",,"STREAM:AppOut", "FIELD:AppCxlRplID", CONCATENATE("TUPLENUM:", ROW()-2))</f>
        <v>#N/A</v>
      </c>
      <c r="W56" t="e">
        <f>RTD("streambase.rtd",,"STREAM:AppOut", "FIELD:Symbol", CONCATENATE("TUPLENUM:", ROW()-2))</f>
        <v>#N/A</v>
      </c>
      <c r="X56" t="e">
        <f>RTD("streambase.rtd",,"STREAM:AppOut", "FIELD:OrderStatus", CONCATENATE("TUPLENUM:", ROW()-2))</f>
        <v>#N/A</v>
      </c>
      <c r="Y56" t="e">
        <f>RTD("streambase.rtd",,"STREAM:AppOut", "FIELD:BuySell", CONCATENATE("TUPLENUM:", ROW()-2))</f>
        <v>#N/A</v>
      </c>
      <c r="Z56" t="e">
        <f>RTD("streambase.rtd",,"STREAM:AppOut", "FIELD:Price", CONCATENATE("TUPLENUM:", ROW()-2))</f>
        <v>#N/A</v>
      </c>
      <c r="AA56" t="e">
        <f>RTD("streambase.rtd",,"STREAM:AppOut", "FIELD:OrderQty", CONCATENATE("TUPLENUM:", ROW()-2))</f>
        <v>#N/A</v>
      </c>
      <c r="AB56" t="e">
        <f>RTD("streambase.rtd",,"STREAM:AppOut", "FIELD:CumQty", CONCATENATE("TUPLENUM:", ROW()-2))</f>
        <v>#N/A</v>
      </c>
      <c r="AC56" t="e">
        <f>RTD("streambase.rtd",,"STREAM:AppOut", "FIELD:AvgPx", CONCATENATE("TUPLENUM:", ROW()-2))</f>
        <v>#N/A</v>
      </c>
      <c r="AD56" t="e">
        <f>RTD("streambase.rtd",,"STREAM:AppOut", "FIELD:UpdateNumber", CONCATENATE("TUPLENUM:", ROW()-2))</f>
        <v>#N/A</v>
      </c>
      <c r="AE56" s="11" t="e">
        <f>RTD("streambase.rtd",,"STREAM:AppOut", "FIELD:UpdateTime", CONCATENATE("TUPLENUM:", ROW()-2))</f>
        <v>#N/A</v>
      </c>
      <c r="AF56" t="e">
        <f>RTD("streambase.rtd",,"STREAM:AppOut", "FIELD:ReplacedbyReqID", CONCATENATE("TUPLENUM:", ROW()-2))</f>
        <v>#N/A</v>
      </c>
      <c r="AG56" t="e">
        <f>RTD("streambase.rtd",,"STREAM:AppOut", "FIELD:LeavesQty", CONCATENATE("TUPLENUM:", ROW()-2))</f>
        <v>#N/A</v>
      </c>
      <c r="AH56" t="e">
        <f>RTD("streambase.rtd",,"STREAM:AppOut", "FIELD:Account", CONCATENATE("TUPLENUM:", ROW()-2))</f>
        <v>#N/A</v>
      </c>
      <c r="AI56" t="e">
        <f>RTD("streambase.rtd",,"STREAM:AppOut", "FIELD:TradeDate", CONCATENATE("TUPLENUM:", ROW()-2))</f>
        <v>#N/A</v>
      </c>
    </row>
    <row r="57" spans="1:35">
      <c r="A57" t="str">
        <f>IF(B57="","",RTD("streambase.rtd",,"STREAM:AppOut", "FIELD:OrderStatus", "LOCALFILTER:AppOrdID==""" &amp; $B57 &amp; """"))</f>
        <v/>
      </c>
      <c r="B57" s="15" t="str">
        <f>IF(E57="","",VLOOKUP(E57,Params!O:P,2,FALSE)&amp;"_"&amp;VLOOKUP(F57,Params!R:S,2,FALSE)&amp;"_"&amp;VLOOKUP(G57,Params!U:V,2,FALSE)&amp;"_"&amp;"00"&amp;ROW()-1)</f>
        <v/>
      </c>
      <c r="C57" s="6"/>
      <c r="D57" s="6"/>
      <c r="H57" s="6"/>
      <c r="I57" s="6"/>
      <c r="L57" s="6"/>
      <c r="M57" s="6"/>
      <c r="N57" t="str">
        <f>IF(B57="","",RTD("streambase.rtd",,"STREAM:AppOut", "FIELD:CumQty", "LOCALFILTER:AppOrdID==""" &amp; $B57 &amp; """"))</f>
        <v/>
      </c>
      <c r="O57" t="str">
        <f>IF(B57="","",RTD("streambase.rtd",,"STREAM:AppOut", "FIELD:AvgPx", "LOCALFILTER:AppOrdID==""" &amp; $B57 &amp; """"))</f>
        <v/>
      </c>
      <c r="U57" t="e">
        <f>RTD("streambase.rtd",,"STREAM:AppOut", "FIELD:AppOrdID", CONCATENATE("TUPLENUM:", ROW()-2))</f>
        <v>#N/A</v>
      </c>
      <c r="V57" t="e">
        <f>RTD("streambase.rtd",,"STREAM:AppOut", "FIELD:AppCxlRplID", CONCATENATE("TUPLENUM:", ROW()-2))</f>
        <v>#N/A</v>
      </c>
      <c r="W57" t="e">
        <f>RTD("streambase.rtd",,"STREAM:AppOut", "FIELD:Symbol", CONCATENATE("TUPLENUM:", ROW()-2))</f>
        <v>#N/A</v>
      </c>
      <c r="X57" t="e">
        <f>RTD("streambase.rtd",,"STREAM:AppOut", "FIELD:OrderStatus", CONCATENATE("TUPLENUM:", ROW()-2))</f>
        <v>#N/A</v>
      </c>
      <c r="Y57" t="e">
        <f>RTD("streambase.rtd",,"STREAM:AppOut", "FIELD:BuySell", CONCATENATE("TUPLENUM:", ROW()-2))</f>
        <v>#N/A</v>
      </c>
      <c r="Z57" t="e">
        <f>RTD("streambase.rtd",,"STREAM:AppOut", "FIELD:Price", CONCATENATE("TUPLENUM:", ROW()-2))</f>
        <v>#N/A</v>
      </c>
      <c r="AA57" t="e">
        <f>RTD("streambase.rtd",,"STREAM:AppOut", "FIELD:OrderQty", CONCATENATE("TUPLENUM:", ROW()-2))</f>
        <v>#N/A</v>
      </c>
      <c r="AB57" t="e">
        <f>RTD("streambase.rtd",,"STREAM:AppOut", "FIELD:CumQty", CONCATENATE("TUPLENUM:", ROW()-2))</f>
        <v>#N/A</v>
      </c>
      <c r="AC57" t="e">
        <f>RTD("streambase.rtd",,"STREAM:AppOut", "FIELD:AvgPx", CONCATENATE("TUPLENUM:", ROW()-2))</f>
        <v>#N/A</v>
      </c>
      <c r="AD57" t="e">
        <f>RTD("streambase.rtd",,"STREAM:AppOut", "FIELD:UpdateNumber", CONCATENATE("TUPLENUM:", ROW()-2))</f>
        <v>#N/A</v>
      </c>
      <c r="AE57" s="11" t="e">
        <f>RTD("streambase.rtd",,"STREAM:AppOut", "FIELD:UpdateTime", CONCATENATE("TUPLENUM:", ROW()-2))</f>
        <v>#N/A</v>
      </c>
      <c r="AF57" t="e">
        <f>RTD("streambase.rtd",,"STREAM:AppOut", "FIELD:ReplacedbyReqID", CONCATENATE("TUPLENUM:", ROW()-2))</f>
        <v>#N/A</v>
      </c>
      <c r="AG57" t="e">
        <f>RTD("streambase.rtd",,"STREAM:AppOut", "FIELD:LeavesQty", CONCATENATE("TUPLENUM:", ROW()-2))</f>
        <v>#N/A</v>
      </c>
      <c r="AH57" t="e">
        <f>RTD("streambase.rtd",,"STREAM:AppOut", "FIELD:Account", CONCATENATE("TUPLENUM:", ROW()-2))</f>
        <v>#N/A</v>
      </c>
      <c r="AI57" t="e">
        <f>RTD("streambase.rtd",,"STREAM:AppOut", "FIELD:TradeDate", CONCATENATE("TUPLENUM:", ROW()-2))</f>
        <v>#N/A</v>
      </c>
    </row>
    <row r="58" spans="1:35">
      <c r="A58" t="str">
        <f>IF(B58="","",RTD("streambase.rtd",,"STREAM:AppOut", "FIELD:OrderStatus", "LOCALFILTER:AppOrdID==""" &amp; $B58 &amp; """"))</f>
        <v/>
      </c>
      <c r="B58" s="15" t="str">
        <f>IF(E58="","",VLOOKUP(E58,Params!O:P,2,FALSE)&amp;"_"&amp;VLOOKUP(F58,Params!R:S,2,FALSE)&amp;"_"&amp;VLOOKUP(G58,Params!U:V,2,FALSE)&amp;"_"&amp;"00"&amp;ROW()-1)</f>
        <v/>
      </c>
      <c r="C58" s="6"/>
      <c r="D58" s="6"/>
      <c r="H58" s="6"/>
      <c r="I58" s="6"/>
      <c r="L58" s="6"/>
      <c r="M58" s="6"/>
      <c r="N58" t="str">
        <f>IF(B58="","",RTD("streambase.rtd",,"STREAM:AppOut", "FIELD:CumQty", "LOCALFILTER:AppOrdID==""" &amp; $B58 &amp; """"))</f>
        <v/>
      </c>
      <c r="O58" t="str">
        <f>IF(B58="","",RTD("streambase.rtd",,"STREAM:AppOut", "FIELD:AvgPx", "LOCALFILTER:AppOrdID==""" &amp; $B58 &amp; """"))</f>
        <v/>
      </c>
      <c r="U58" t="e">
        <f>RTD("streambase.rtd",,"STREAM:AppOut", "FIELD:AppOrdID", CONCATENATE("TUPLENUM:", ROW()-2))</f>
        <v>#N/A</v>
      </c>
      <c r="V58" t="e">
        <f>RTD("streambase.rtd",,"STREAM:AppOut", "FIELD:AppCxlRplID", CONCATENATE("TUPLENUM:", ROW()-2))</f>
        <v>#N/A</v>
      </c>
      <c r="W58" t="e">
        <f>RTD("streambase.rtd",,"STREAM:AppOut", "FIELD:Symbol", CONCATENATE("TUPLENUM:", ROW()-2))</f>
        <v>#N/A</v>
      </c>
      <c r="X58" t="e">
        <f>RTD("streambase.rtd",,"STREAM:AppOut", "FIELD:OrderStatus", CONCATENATE("TUPLENUM:", ROW()-2))</f>
        <v>#N/A</v>
      </c>
      <c r="Y58" t="e">
        <f>RTD("streambase.rtd",,"STREAM:AppOut", "FIELD:BuySell", CONCATENATE("TUPLENUM:", ROW()-2))</f>
        <v>#N/A</v>
      </c>
      <c r="Z58" t="e">
        <f>RTD("streambase.rtd",,"STREAM:AppOut", "FIELD:Price", CONCATENATE("TUPLENUM:", ROW()-2))</f>
        <v>#N/A</v>
      </c>
      <c r="AA58" t="e">
        <f>RTD("streambase.rtd",,"STREAM:AppOut", "FIELD:OrderQty", CONCATENATE("TUPLENUM:", ROW()-2))</f>
        <v>#N/A</v>
      </c>
      <c r="AB58" t="e">
        <f>RTD("streambase.rtd",,"STREAM:AppOut", "FIELD:CumQty", CONCATENATE("TUPLENUM:", ROW()-2))</f>
        <v>#N/A</v>
      </c>
      <c r="AC58" t="e">
        <f>RTD("streambase.rtd",,"STREAM:AppOut", "FIELD:AvgPx", CONCATENATE("TUPLENUM:", ROW()-2))</f>
        <v>#N/A</v>
      </c>
      <c r="AD58" t="e">
        <f>RTD("streambase.rtd",,"STREAM:AppOut", "FIELD:UpdateNumber", CONCATENATE("TUPLENUM:", ROW()-2))</f>
        <v>#N/A</v>
      </c>
      <c r="AE58" s="11" t="e">
        <f>RTD("streambase.rtd",,"STREAM:AppOut", "FIELD:UpdateTime", CONCATENATE("TUPLENUM:", ROW()-2))</f>
        <v>#N/A</v>
      </c>
      <c r="AF58" t="e">
        <f>RTD("streambase.rtd",,"STREAM:AppOut", "FIELD:ReplacedbyReqID", CONCATENATE("TUPLENUM:", ROW()-2))</f>
        <v>#N/A</v>
      </c>
      <c r="AG58" t="e">
        <f>RTD("streambase.rtd",,"STREAM:AppOut", "FIELD:LeavesQty", CONCATENATE("TUPLENUM:", ROW()-2))</f>
        <v>#N/A</v>
      </c>
      <c r="AH58" t="e">
        <f>RTD("streambase.rtd",,"STREAM:AppOut", "FIELD:Account", CONCATENATE("TUPLENUM:", ROW()-2))</f>
        <v>#N/A</v>
      </c>
      <c r="AI58" t="e">
        <f>RTD("streambase.rtd",,"STREAM:AppOut", "FIELD:TradeDate", CONCATENATE("TUPLENUM:", ROW()-2))</f>
        <v>#N/A</v>
      </c>
    </row>
    <row r="59" spans="1:35">
      <c r="A59" t="str">
        <f>IF(B59="","",RTD("streambase.rtd",,"STREAM:AppOut", "FIELD:OrderStatus", "LOCALFILTER:AppOrdID==""" &amp; $B59 &amp; """"))</f>
        <v/>
      </c>
      <c r="B59" s="15" t="str">
        <f>IF(E59="","",VLOOKUP(E59,Params!O:P,2,FALSE)&amp;"_"&amp;VLOOKUP(F59,Params!R:S,2,FALSE)&amp;"_"&amp;VLOOKUP(G59,Params!U:V,2,FALSE)&amp;"_"&amp;"00"&amp;ROW()-1)</f>
        <v/>
      </c>
      <c r="C59" s="6"/>
      <c r="D59" s="6"/>
      <c r="H59" s="6"/>
      <c r="I59" s="6"/>
      <c r="L59" s="6"/>
      <c r="M59" s="6"/>
      <c r="N59" t="str">
        <f>IF(B59="","",RTD("streambase.rtd",,"STREAM:AppOut", "FIELD:CumQty", "LOCALFILTER:AppOrdID==""" &amp; $B59 &amp; """"))</f>
        <v/>
      </c>
      <c r="O59" t="str">
        <f>IF(B59="","",RTD("streambase.rtd",,"STREAM:AppOut", "FIELD:AvgPx", "LOCALFILTER:AppOrdID==""" &amp; $B59 &amp; """"))</f>
        <v/>
      </c>
      <c r="U59" t="e">
        <f>RTD("streambase.rtd",,"STREAM:AppOut", "FIELD:AppOrdID", CONCATENATE("TUPLENUM:", ROW()-2))</f>
        <v>#N/A</v>
      </c>
      <c r="V59" t="e">
        <f>RTD("streambase.rtd",,"STREAM:AppOut", "FIELD:AppCxlRplID", CONCATENATE("TUPLENUM:", ROW()-2))</f>
        <v>#N/A</v>
      </c>
      <c r="W59" t="e">
        <f>RTD("streambase.rtd",,"STREAM:AppOut", "FIELD:Symbol", CONCATENATE("TUPLENUM:", ROW()-2))</f>
        <v>#N/A</v>
      </c>
      <c r="X59" t="e">
        <f>RTD("streambase.rtd",,"STREAM:AppOut", "FIELD:OrderStatus", CONCATENATE("TUPLENUM:", ROW()-2))</f>
        <v>#N/A</v>
      </c>
      <c r="Y59" t="e">
        <f>RTD("streambase.rtd",,"STREAM:AppOut", "FIELD:BuySell", CONCATENATE("TUPLENUM:", ROW()-2))</f>
        <v>#N/A</v>
      </c>
      <c r="Z59" t="e">
        <f>RTD("streambase.rtd",,"STREAM:AppOut", "FIELD:Price", CONCATENATE("TUPLENUM:", ROW()-2))</f>
        <v>#N/A</v>
      </c>
      <c r="AA59" t="e">
        <f>RTD("streambase.rtd",,"STREAM:AppOut", "FIELD:OrderQty", CONCATENATE("TUPLENUM:", ROW()-2))</f>
        <v>#N/A</v>
      </c>
      <c r="AB59" t="e">
        <f>RTD("streambase.rtd",,"STREAM:AppOut", "FIELD:CumQty", CONCATENATE("TUPLENUM:", ROW()-2))</f>
        <v>#N/A</v>
      </c>
      <c r="AC59" t="e">
        <f>RTD("streambase.rtd",,"STREAM:AppOut", "FIELD:AvgPx", CONCATENATE("TUPLENUM:", ROW()-2))</f>
        <v>#N/A</v>
      </c>
      <c r="AD59" t="e">
        <f>RTD("streambase.rtd",,"STREAM:AppOut", "FIELD:UpdateNumber", CONCATENATE("TUPLENUM:", ROW()-2))</f>
        <v>#N/A</v>
      </c>
      <c r="AE59" s="11" t="e">
        <f>RTD("streambase.rtd",,"STREAM:AppOut", "FIELD:UpdateTime", CONCATENATE("TUPLENUM:", ROW()-2))</f>
        <v>#N/A</v>
      </c>
      <c r="AF59" t="e">
        <f>RTD("streambase.rtd",,"STREAM:AppOut", "FIELD:ReplacedbyReqID", CONCATENATE("TUPLENUM:", ROW()-2))</f>
        <v>#N/A</v>
      </c>
      <c r="AG59" t="e">
        <f>RTD("streambase.rtd",,"STREAM:AppOut", "FIELD:LeavesQty", CONCATENATE("TUPLENUM:", ROW()-2))</f>
        <v>#N/A</v>
      </c>
      <c r="AH59" t="e">
        <f>RTD("streambase.rtd",,"STREAM:AppOut", "FIELD:Account", CONCATENATE("TUPLENUM:", ROW()-2))</f>
        <v>#N/A</v>
      </c>
      <c r="AI59" t="e">
        <f>RTD("streambase.rtd",,"STREAM:AppOut", "FIELD:TradeDate", CONCATENATE("TUPLENUM:", ROW()-2))</f>
        <v>#N/A</v>
      </c>
    </row>
    <row r="60" spans="1:35">
      <c r="A60" t="str">
        <f>IF(B60="","",RTD("streambase.rtd",,"STREAM:AppOut", "FIELD:OrderStatus", "LOCALFILTER:AppOrdID==""" &amp; $B60 &amp; """"))</f>
        <v/>
      </c>
      <c r="B60" s="15" t="str">
        <f>IF(E60="","",VLOOKUP(E60,Params!O:P,2,FALSE)&amp;"_"&amp;VLOOKUP(F60,Params!R:S,2,FALSE)&amp;"_"&amp;VLOOKUP(G60,Params!U:V,2,FALSE)&amp;"_"&amp;"00"&amp;ROW()-1)</f>
        <v/>
      </c>
      <c r="C60" s="6"/>
      <c r="D60" s="6"/>
      <c r="H60" s="6"/>
      <c r="I60" s="6"/>
      <c r="L60" s="6"/>
      <c r="M60" s="6"/>
      <c r="N60" t="str">
        <f>IF(B60="","",RTD("streambase.rtd",,"STREAM:AppOut", "FIELD:CumQty", "LOCALFILTER:AppOrdID==""" &amp; $B60 &amp; """"))</f>
        <v/>
      </c>
      <c r="O60" t="str">
        <f>IF(B60="","",RTD("streambase.rtd",,"STREAM:AppOut", "FIELD:AvgPx", "LOCALFILTER:AppOrdID==""" &amp; $B60 &amp; """"))</f>
        <v/>
      </c>
      <c r="U60" t="e">
        <f>RTD("streambase.rtd",,"STREAM:AppOut", "FIELD:AppOrdID", CONCATENATE("TUPLENUM:", ROW()-2))</f>
        <v>#N/A</v>
      </c>
      <c r="V60" t="e">
        <f>RTD("streambase.rtd",,"STREAM:AppOut", "FIELD:AppCxlRplID", CONCATENATE("TUPLENUM:", ROW()-2))</f>
        <v>#N/A</v>
      </c>
      <c r="W60" t="e">
        <f>RTD("streambase.rtd",,"STREAM:AppOut", "FIELD:Symbol", CONCATENATE("TUPLENUM:", ROW()-2))</f>
        <v>#N/A</v>
      </c>
      <c r="X60" t="e">
        <f>RTD("streambase.rtd",,"STREAM:AppOut", "FIELD:OrderStatus", CONCATENATE("TUPLENUM:", ROW()-2))</f>
        <v>#N/A</v>
      </c>
      <c r="Y60" t="e">
        <f>RTD("streambase.rtd",,"STREAM:AppOut", "FIELD:BuySell", CONCATENATE("TUPLENUM:", ROW()-2))</f>
        <v>#N/A</v>
      </c>
      <c r="Z60" t="e">
        <f>RTD("streambase.rtd",,"STREAM:AppOut", "FIELD:Price", CONCATENATE("TUPLENUM:", ROW()-2))</f>
        <v>#N/A</v>
      </c>
      <c r="AA60" t="e">
        <f>RTD("streambase.rtd",,"STREAM:AppOut", "FIELD:OrderQty", CONCATENATE("TUPLENUM:", ROW()-2))</f>
        <v>#N/A</v>
      </c>
      <c r="AB60" t="e">
        <f>RTD("streambase.rtd",,"STREAM:AppOut", "FIELD:CumQty", CONCATENATE("TUPLENUM:", ROW()-2))</f>
        <v>#N/A</v>
      </c>
      <c r="AC60" t="e">
        <f>RTD("streambase.rtd",,"STREAM:AppOut", "FIELD:AvgPx", CONCATENATE("TUPLENUM:", ROW()-2))</f>
        <v>#N/A</v>
      </c>
      <c r="AD60" t="e">
        <f>RTD("streambase.rtd",,"STREAM:AppOut", "FIELD:UpdateNumber", CONCATENATE("TUPLENUM:", ROW()-2))</f>
        <v>#N/A</v>
      </c>
      <c r="AE60" s="11" t="e">
        <f>RTD("streambase.rtd",,"STREAM:AppOut", "FIELD:UpdateTime", CONCATENATE("TUPLENUM:", ROW()-2))</f>
        <v>#N/A</v>
      </c>
      <c r="AF60" t="e">
        <f>RTD("streambase.rtd",,"STREAM:AppOut", "FIELD:ReplacedbyReqID", CONCATENATE("TUPLENUM:", ROW()-2))</f>
        <v>#N/A</v>
      </c>
      <c r="AG60" t="e">
        <f>RTD("streambase.rtd",,"STREAM:AppOut", "FIELD:LeavesQty", CONCATENATE("TUPLENUM:", ROW()-2))</f>
        <v>#N/A</v>
      </c>
      <c r="AH60" t="e">
        <f>RTD("streambase.rtd",,"STREAM:AppOut", "FIELD:Account", CONCATENATE("TUPLENUM:", ROW()-2))</f>
        <v>#N/A</v>
      </c>
      <c r="AI60" t="e">
        <f>RTD("streambase.rtd",,"STREAM:AppOut", "FIELD:TradeDate", CONCATENATE("TUPLENUM:", ROW()-2))</f>
        <v>#N/A</v>
      </c>
    </row>
    <row r="61" spans="1:35">
      <c r="A61" t="str">
        <f>IF(B61="","",RTD("streambase.rtd",,"STREAM:AppOut", "FIELD:OrderStatus", "LOCALFILTER:AppOrdID==""" &amp; $B61 &amp; """"))</f>
        <v/>
      </c>
      <c r="B61" s="15" t="str">
        <f>IF(E61="","",VLOOKUP(E61,Params!O:P,2,FALSE)&amp;"_"&amp;VLOOKUP(F61,Params!R:S,2,FALSE)&amp;"_"&amp;VLOOKUP(G61,Params!U:V,2,FALSE)&amp;"_"&amp;"00"&amp;ROW()-1)</f>
        <v/>
      </c>
      <c r="C61" s="6"/>
      <c r="D61" s="6"/>
      <c r="H61" s="6"/>
      <c r="I61" s="6"/>
      <c r="L61" s="6"/>
      <c r="M61" s="6"/>
      <c r="N61" t="str">
        <f>IF(B61="","",RTD("streambase.rtd",,"STREAM:AppOut", "FIELD:CumQty", "LOCALFILTER:AppOrdID==""" &amp; $B61 &amp; """"))</f>
        <v/>
      </c>
      <c r="O61" t="str">
        <f>IF(B61="","",RTD("streambase.rtd",,"STREAM:AppOut", "FIELD:AvgPx", "LOCALFILTER:AppOrdID==""" &amp; $B61 &amp; """"))</f>
        <v/>
      </c>
      <c r="U61" t="e">
        <f>RTD("streambase.rtd",,"STREAM:AppOut", "FIELD:AppOrdID", CONCATENATE("TUPLENUM:", ROW()-2))</f>
        <v>#N/A</v>
      </c>
      <c r="V61" t="e">
        <f>RTD("streambase.rtd",,"STREAM:AppOut", "FIELD:AppCxlRplID", CONCATENATE("TUPLENUM:", ROW()-2))</f>
        <v>#N/A</v>
      </c>
      <c r="W61" t="e">
        <f>RTD("streambase.rtd",,"STREAM:AppOut", "FIELD:Symbol", CONCATENATE("TUPLENUM:", ROW()-2))</f>
        <v>#N/A</v>
      </c>
      <c r="X61" t="e">
        <f>RTD("streambase.rtd",,"STREAM:AppOut", "FIELD:OrderStatus", CONCATENATE("TUPLENUM:", ROW()-2))</f>
        <v>#N/A</v>
      </c>
      <c r="Y61" t="e">
        <f>RTD("streambase.rtd",,"STREAM:AppOut", "FIELD:BuySell", CONCATENATE("TUPLENUM:", ROW()-2))</f>
        <v>#N/A</v>
      </c>
      <c r="Z61" t="e">
        <f>RTD("streambase.rtd",,"STREAM:AppOut", "FIELD:Price", CONCATENATE("TUPLENUM:", ROW()-2))</f>
        <v>#N/A</v>
      </c>
      <c r="AA61" t="e">
        <f>RTD("streambase.rtd",,"STREAM:AppOut", "FIELD:OrderQty", CONCATENATE("TUPLENUM:", ROW()-2))</f>
        <v>#N/A</v>
      </c>
      <c r="AB61" t="e">
        <f>RTD("streambase.rtd",,"STREAM:AppOut", "FIELD:CumQty", CONCATENATE("TUPLENUM:", ROW()-2))</f>
        <v>#N/A</v>
      </c>
      <c r="AC61" t="e">
        <f>RTD("streambase.rtd",,"STREAM:AppOut", "FIELD:AvgPx", CONCATENATE("TUPLENUM:", ROW()-2))</f>
        <v>#N/A</v>
      </c>
      <c r="AD61" t="e">
        <f>RTD("streambase.rtd",,"STREAM:AppOut", "FIELD:UpdateNumber", CONCATENATE("TUPLENUM:", ROW()-2))</f>
        <v>#N/A</v>
      </c>
      <c r="AE61" s="11" t="e">
        <f>RTD("streambase.rtd",,"STREAM:AppOut", "FIELD:UpdateTime", CONCATENATE("TUPLENUM:", ROW()-2))</f>
        <v>#N/A</v>
      </c>
      <c r="AF61" t="e">
        <f>RTD("streambase.rtd",,"STREAM:AppOut", "FIELD:ReplacedbyReqID", CONCATENATE("TUPLENUM:", ROW()-2))</f>
        <v>#N/A</v>
      </c>
      <c r="AG61" t="e">
        <f>RTD("streambase.rtd",,"STREAM:AppOut", "FIELD:LeavesQty", CONCATENATE("TUPLENUM:", ROW()-2))</f>
        <v>#N/A</v>
      </c>
      <c r="AH61" t="e">
        <f>RTD("streambase.rtd",,"STREAM:AppOut", "FIELD:Account", CONCATENATE("TUPLENUM:", ROW()-2))</f>
        <v>#N/A</v>
      </c>
      <c r="AI61" t="e">
        <f>RTD("streambase.rtd",,"STREAM:AppOut", "FIELD:TradeDate", CONCATENATE("TUPLENUM:", ROW()-2))</f>
        <v>#N/A</v>
      </c>
    </row>
    <row r="62" spans="1:35">
      <c r="A62" t="str">
        <f>IF(B62="","",RTD("streambase.rtd",,"STREAM:AppOut", "FIELD:OrderStatus", "LOCALFILTER:AppOrdID==""" &amp; $B62 &amp; """"))</f>
        <v/>
      </c>
      <c r="B62" s="15" t="str">
        <f>IF(E62="","",VLOOKUP(E62,Params!O:P,2,FALSE)&amp;"_"&amp;VLOOKUP(F62,Params!R:S,2,FALSE)&amp;"_"&amp;VLOOKUP(G62,Params!U:V,2,FALSE)&amp;"_"&amp;"00"&amp;ROW()-1)</f>
        <v/>
      </c>
      <c r="C62" s="6"/>
      <c r="D62" s="6"/>
      <c r="H62" s="6"/>
      <c r="I62" s="6"/>
      <c r="L62" s="6"/>
      <c r="M62" s="6"/>
      <c r="N62" t="str">
        <f>IF(B62="","",RTD("streambase.rtd",,"STREAM:AppOut", "FIELD:CumQty", "LOCALFILTER:AppOrdID==""" &amp; $B62 &amp; """"))</f>
        <v/>
      </c>
      <c r="O62" t="str">
        <f>IF(B62="","",RTD("streambase.rtd",,"STREAM:AppOut", "FIELD:AvgPx", "LOCALFILTER:AppOrdID==""" &amp; $B62 &amp; """"))</f>
        <v/>
      </c>
      <c r="U62" t="e">
        <f>RTD("streambase.rtd",,"STREAM:AppOut", "FIELD:AppOrdID", CONCATENATE("TUPLENUM:", ROW()-2))</f>
        <v>#N/A</v>
      </c>
      <c r="V62" t="e">
        <f>RTD("streambase.rtd",,"STREAM:AppOut", "FIELD:AppCxlRplID", CONCATENATE("TUPLENUM:", ROW()-2))</f>
        <v>#N/A</v>
      </c>
      <c r="W62" t="e">
        <f>RTD("streambase.rtd",,"STREAM:AppOut", "FIELD:Symbol", CONCATENATE("TUPLENUM:", ROW()-2))</f>
        <v>#N/A</v>
      </c>
      <c r="X62" t="e">
        <f>RTD("streambase.rtd",,"STREAM:AppOut", "FIELD:OrderStatus", CONCATENATE("TUPLENUM:", ROW()-2))</f>
        <v>#N/A</v>
      </c>
      <c r="Y62" t="e">
        <f>RTD("streambase.rtd",,"STREAM:AppOut", "FIELD:BuySell", CONCATENATE("TUPLENUM:", ROW()-2))</f>
        <v>#N/A</v>
      </c>
      <c r="Z62" t="e">
        <f>RTD("streambase.rtd",,"STREAM:AppOut", "FIELD:Price", CONCATENATE("TUPLENUM:", ROW()-2))</f>
        <v>#N/A</v>
      </c>
      <c r="AA62" t="e">
        <f>RTD("streambase.rtd",,"STREAM:AppOut", "FIELD:OrderQty", CONCATENATE("TUPLENUM:", ROW()-2))</f>
        <v>#N/A</v>
      </c>
      <c r="AB62" t="e">
        <f>RTD("streambase.rtd",,"STREAM:AppOut", "FIELD:CumQty", CONCATENATE("TUPLENUM:", ROW()-2))</f>
        <v>#N/A</v>
      </c>
      <c r="AC62" t="e">
        <f>RTD("streambase.rtd",,"STREAM:AppOut", "FIELD:AvgPx", CONCATENATE("TUPLENUM:", ROW()-2))</f>
        <v>#N/A</v>
      </c>
      <c r="AD62" t="e">
        <f>RTD("streambase.rtd",,"STREAM:AppOut", "FIELD:UpdateNumber", CONCATENATE("TUPLENUM:", ROW()-2))</f>
        <v>#N/A</v>
      </c>
      <c r="AE62" s="11" t="e">
        <f>RTD("streambase.rtd",,"STREAM:AppOut", "FIELD:UpdateTime", CONCATENATE("TUPLENUM:", ROW()-2))</f>
        <v>#N/A</v>
      </c>
      <c r="AF62" t="e">
        <f>RTD("streambase.rtd",,"STREAM:AppOut", "FIELD:ReplacedbyReqID", CONCATENATE("TUPLENUM:", ROW()-2))</f>
        <v>#N/A</v>
      </c>
      <c r="AG62" t="e">
        <f>RTD("streambase.rtd",,"STREAM:AppOut", "FIELD:LeavesQty", CONCATENATE("TUPLENUM:", ROW()-2))</f>
        <v>#N/A</v>
      </c>
      <c r="AH62" t="e">
        <f>RTD("streambase.rtd",,"STREAM:AppOut", "FIELD:Account", CONCATENATE("TUPLENUM:", ROW()-2))</f>
        <v>#N/A</v>
      </c>
      <c r="AI62" t="e">
        <f>RTD("streambase.rtd",,"STREAM:AppOut", "FIELD:TradeDate", CONCATENATE("TUPLENUM:", ROW()-2))</f>
        <v>#N/A</v>
      </c>
    </row>
    <row r="63" spans="1:35">
      <c r="A63" t="str">
        <f>IF(B63="","",RTD("streambase.rtd",,"STREAM:AppOut", "FIELD:OrderStatus", "LOCALFILTER:AppOrdID==""" &amp; $B63 &amp; """"))</f>
        <v/>
      </c>
      <c r="B63" s="15" t="str">
        <f>IF(E63="","",VLOOKUP(E63,Params!O:P,2,FALSE)&amp;"_"&amp;VLOOKUP(F63,Params!R:S,2,FALSE)&amp;"_"&amp;VLOOKUP(G63,Params!U:V,2,FALSE)&amp;"_"&amp;"00"&amp;ROW()-1)</f>
        <v/>
      </c>
      <c r="C63" s="6"/>
      <c r="D63" s="6"/>
      <c r="H63" s="6"/>
      <c r="I63" s="6"/>
      <c r="L63" s="6"/>
      <c r="M63" s="6"/>
      <c r="N63" t="str">
        <f>IF(B63="","",RTD("streambase.rtd",,"STREAM:AppOut", "FIELD:CumQty", "LOCALFILTER:AppOrdID==""" &amp; $B63 &amp; """"))</f>
        <v/>
      </c>
      <c r="O63" t="str">
        <f>IF(B63="","",RTD("streambase.rtd",,"STREAM:AppOut", "FIELD:AvgPx", "LOCALFILTER:AppOrdID==""" &amp; $B63 &amp; """"))</f>
        <v/>
      </c>
      <c r="U63" t="e">
        <f>RTD("streambase.rtd",,"STREAM:AppOut", "FIELD:AppOrdID", CONCATENATE("TUPLENUM:", ROW()-2))</f>
        <v>#N/A</v>
      </c>
      <c r="V63" t="e">
        <f>RTD("streambase.rtd",,"STREAM:AppOut", "FIELD:AppCxlRplID", CONCATENATE("TUPLENUM:", ROW()-2))</f>
        <v>#N/A</v>
      </c>
      <c r="W63" t="e">
        <f>RTD("streambase.rtd",,"STREAM:AppOut", "FIELD:Symbol", CONCATENATE("TUPLENUM:", ROW()-2))</f>
        <v>#N/A</v>
      </c>
      <c r="X63" t="e">
        <f>RTD("streambase.rtd",,"STREAM:AppOut", "FIELD:OrderStatus", CONCATENATE("TUPLENUM:", ROW()-2))</f>
        <v>#N/A</v>
      </c>
      <c r="Y63" t="e">
        <f>RTD("streambase.rtd",,"STREAM:AppOut", "FIELD:BuySell", CONCATENATE("TUPLENUM:", ROW()-2))</f>
        <v>#N/A</v>
      </c>
      <c r="Z63" t="e">
        <f>RTD("streambase.rtd",,"STREAM:AppOut", "FIELD:Price", CONCATENATE("TUPLENUM:", ROW()-2))</f>
        <v>#N/A</v>
      </c>
      <c r="AA63" t="e">
        <f>RTD("streambase.rtd",,"STREAM:AppOut", "FIELD:OrderQty", CONCATENATE("TUPLENUM:", ROW()-2))</f>
        <v>#N/A</v>
      </c>
      <c r="AB63" t="e">
        <f>RTD("streambase.rtd",,"STREAM:AppOut", "FIELD:CumQty", CONCATENATE("TUPLENUM:", ROW()-2))</f>
        <v>#N/A</v>
      </c>
      <c r="AC63" t="e">
        <f>RTD("streambase.rtd",,"STREAM:AppOut", "FIELD:AvgPx", CONCATENATE("TUPLENUM:", ROW()-2))</f>
        <v>#N/A</v>
      </c>
      <c r="AD63" t="e">
        <f>RTD("streambase.rtd",,"STREAM:AppOut", "FIELD:UpdateNumber", CONCATENATE("TUPLENUM:", ROW()-2))</f>
        <v>#N/A</v>
      </c>
      <c r="AE63" s="11" t="e">
        <f>RTD("streambase.rtd",,"STREAM:AppOut", "FIELD:UpdateTime", CONCATENATE("TUPLENUM:", ROW()-2))</f>
        <v>#N/A</v>
      </c>
      <c r="AF63" t="e">
        <f>RTD("streambase.rtd",,"STREAM:AppOut", "FIELD:ReplacedbyReqID", CONCATENATE("TUPLENUM:", ROW()-2))</f>
        <v>#N/A</v>
      </c>
      <c r="AG63" t="e">
        <f>RTD("streambase.rtd",,"STREAM:AppOut", "FIELD:LeavesQty", CONCATENATE("TUPLENUM:", ROW()-2))</f>
        <v>#N/A</v>
      </c>
      <c r="AH63" t="e">
        <f>RTD("streambase.rtd",,"STREAM:AppOut", "FIELD:Account", CONCATENATE("TUPLENUM:", ROW()-2))</f>
        <v>#N/A</v>
      </c>
      <c r="AI63" t="e">
        <f>RTD("streambase.rtd",,"STREAM:AppOut", "FIELD:TradeDate", CONCATENATE("TUPLENUM:", ROW()-2))</f>
        <v>#N/A</v>
      </c>
    </row>
    <row r="64" spans="1:35">
      <c r="A64" t="str">
        <f>IF(B64="","",RTD("streambase.rtd",,"STREAM:AppOut", "FIELD:OrderStatus", "LOCALFILTER:AppOrdID==""" &amp; $B64 &amp; """"))</f>
        <v/>
      </c>
      <c r="B64" s="15" t="str">
        <f>IF(E64="","",VLOOKUP(E64,Params!O:P,2,FALSE)&amp;"_"&amp;VLOOKUP(F64,Params!R:S,2,FALSE)&amp;"_"&amp;VLOOKUP(G64,Params!U:V,2,FALSE)&amp;"_"&amp;"00"&amp;ROW()-1)</f>
        <v/>
      </c>
      <c r="C64" s="6"/>
      <c r="D64" s="6"/>
      <c r="H64" s="6"/>
      <c r="I64" s="6"/>
      <c r="L64" s="6"/>
      <c r="M64" s="6"/>
      <c r="N64" t="str">
        <f>IF(B64="","",RTD("streambase.rtd",,"STREAM:AppOut", "FIELD:CumQty", "LOCALFILTER:AppOrdID==""" &amp; $B64 &amp; """"))</f>
        <v/>
      </c>
      <c r="O64" t="str">
        <f>IF(B64="","",RTD("streambase.rtd",,"STREAM:AppOut", "FIELD:AvgPx", "LOCALFILTER:AppOrdID==""" &amp; $B64 &amp; """"))</f>
        <v/>
      </c>
      <c r="U64" t="e">
        <f>RTD("streambase.rtd",,"STREAM:AppOut", "FIELD:AppOrdID", CONCATENATE("TUPLENUM:", ROW()-2))</f>
        <v>#N/A</v>
      </c>
      <c r="V64" t="e">
        <f>RTD("streambase.rtd",,"STREAM:AppOut", "FIELD:AppCxlRplID", CONCATENATE("TUPLENUM:", ROW()-2))</f>
        <v>#N/A</v>
      </c>
      <c r="W64" t="e">
        <f>RTD("streambase.rtd",,"STREAM:AppOut", "FIELD:Symbol", CONCATENATE("TUPLENUM:", ROW()-2))</f>
        <v>#N/A</v>
      </c>
      <c r="X64" t="e">
        <f>RTD("streambase.rtd",,"STREAM:AppOut", "FIELD:OrderStatus", CONCATENATE("TUPLENUM:", ROW()-2))</f>
        <v>#N/A</v>
      </c>
      <c r="Y64" t="e">
        <f>RTD("streambase.rtd",,"STREAM:AppOut", "FIELD:BuySell", CONCATENATE("TUPLENUM:", ROW()-2))</f>
        <v>#N/A</v>
      </c>
      <c r="Z64" t="e">
        <f>RTD("streambase.rtd",,"STREAM:AppOut", "FIELD:Price", CONCATENATE("TUPLENUM:", ROW()-2))</f>
        <v>#N/A</v>
      </c>
      <c r="AA64" t="e">
        <f>RTD("streambase.rtd",,"STREAM:AppOut", "FIELD:OrderQty", CONCATENATE("TUPLENUM:", ROW()-2))</f>
        <v>#N/A</v>
      </c>
      <c r="AB64" t="e">
        <f>RTD("streambase.rtd",,"STREAM:AppOut", "FIELD:CumQty", CONCATENATE("TUPLENUM:", ROW()-2))</f>
        <v>#N/A</v>
      </c>
      <c r="AC64" t="e">
        <f>RTD("streambase.rtd",,"STREAM:AppOut", "FIELD:AvgPx", CONCATENATE("TUPLENUM:", ROW()-2))</f>
        <v>#N/A</v>
      </c>
      <c r="AD64" t="e">
        <f>RTD("streambase.rtd",,"STREAM:AppOut", "FIELD:UpdateNumber", CONCATENATE("TUPLENUM:", ROW()-2))</f>
        <v>#N/A</v>
      </c>
      <c r="AE64" s="11" t="e">
        <f>RTD("streambase.rtd",,"STREAM:AppOut", "FIELD:UpdateTime", CONCATENATE("TUPLENUM:", ROW()-2))</f>
        <v>#N/A</v>
      </c>
      <c r="AF64" t="e">
        <f>RTD("streambase.rtd",,"STREAM:AppOut", "FIELD:ReplacedbyReqID", CONCATENATE("TUPLENUM:", ROW()-2))</f>
        <v>#N/A</v>
      </c>
      <c r="AG64" t="e">
        <f>RTD("streambase.rtd",,"STREAM:AppOut", "FIELD:LeavesQty", CONCATENATE("TUPLENUM:", ROW()-2))</f>
        <v>#N/A</v>
      </c>
      <c r="AH64" t="e">
        <f>RTD("streambase.rtd",,"STREAM:AppOut", "FIELD:Account", CONCATENATE("TUPLENUM:", ROW()-2))</f>
        <v>#N/A</v>
      </c>
      <c r="AI64" t="e">
        <f>RTD("streambase.rtd",,"STREAM:AppOut", "FIELD:TradeDate", CONCATENATE("TUPLENUM:", ROW()-2))</f>
        <v>#N/A</v>
      </c>
    </row>
    <row r="65" spans="1:35">
      <c r="A65" t="str">
        <f>IF(B65="","",RTD("streambase.rtd",,"STREAM:AppOut", "FIELD:OrderStatus", "LOCALFILTER:AppOrdID==""" &amp; $B65 &amp; """"))</f>
        <v/>
      </c>
      <c r="B65" s="15" t="str">
        <f>IF(E65="","",VLOOKUP(E65,Params!O:P,2,FALSE)&amp;"_"&amp;VLOOKUP(F65,Params!R:S,2,FALSE)&amp;"_"&amp;VLOOKUP(G65,Params!U:V,2,FALSE)&amp;"_"&amp;"00"&amp;ROW()-1)</f>
        <v/>
      </c>
      <c r="C65" s="6"/>
      <c r="D65" s="6"/>
      <c r="H65" s="6"/>
      <c r="I65" s="6"/>
      <c r="L65" s="6"/>
      <c r="M65" s="6"/>
      <c r="N65" t="str">
        <f>IF(B65="","",RTD("streambase.rtd",,"STREAM:AppOut", "FIELD:CumQty", "LOCALFILTER:AppOrdID==""" &amp; $B65 &amp; """"))</f>
        <v/>
      </c>
      <c r="O65" t="str">
        <f>IF(B65="","",RTD("streambase.rtd",,"STREAM:AppOut", "FIELD:AvgPx", "LOCALFILTER:AppOrdID==""" &amp; $B65 &amp; """"))</f>
        <v/>
      </c>
      <c r="U65" t="e">
        <f>RTD("streambase.rtd",,"STREAM:AppOut", "FIELD:AppOrdID", CONCATENATE("TUPLENUM:", ROW()-2))</f>
        <v>#N/A</v>
      </c>
      <c r="V65" t="e">
        <f>RTD("streambase.rtd",,"STREAM:AppOut", "FIELD:AppCxlRplID", CONCATENATE("TUPLENUM:", ROW()-2))</f>
        <v>#N/A</v>
      </c>
      <c r="W65" t="e">
        <f>RTD("streambase.rtd",,"STREAM:AppOut", "FIELD:Symbol", CONCATENATE("TUPLENUM:", ROW()-2))</f>
        <v>#N/A</v>
      </c>
      <c r="X65" t="e">
        <f>RTD("streambase.rtd",,"STREAM:AppOut", "FIELD:OrderStatus", CONCATENATE("TUPLENUM:", ROW()-2))</f>
        <v>#N/A</v>
      </c>
      <c r="Y65" t="e">
        <f>RTD("streambase.rtd",,"STREAM:AppOut", "FIELD:BuySell", CONCATENATE("TUPLENUM:", ROW()-2))</f>
        <v>#N/A</v>
      </c>
      <c r="Z65" t="e">
        <f>RTD("streambase.rtd",,"STREAM:AppOut", "FIELD:Price", CONCATENATE("TUPLENUM:", ROW()-2))</f>
        <v>#N/A</v>
      </c>
      <c r="AA65" t="e">
        <f>RTD("streambase.rtd",,"STREAM:AppOut", "FIELD:OrderQty", CONCATENATE("TUPLENUM:", ROW()-2))</f>
        <v>#N/A</v>
      </c>
      <c r="AB65" t="e">
        <f>RTD("streambase.rtd",,"STREAM:AppOut", "FIELD:CumQty", CONCATENATE("TUPLENUM:", ROW()-2))</f>
        <v>#N/A</v>
      </c>
      <c r="AC65" t="e">
        <f>RTD("streambase.rtd",,"STREAM:AppOut", "FIELD:AvgPx", CONCATENATE("TUPLENUM:", ROW()-2))</f>
        <v>#N/A</v>
      </c>
      <c r="AD65" t="e">
        <f>RTD("streambase.rtd",,"STREAM:AppOut", "FIELD:UpdateNumber", CONCATENATE("TUPLENUM:", ROW()-2))</f>
        <v>#N/A</v>
      </c>
      <c r="AE65" s="11" t="e">
        <f>RTD("streambase.rtd",,"STREAM:AppOut", "FIELD:UpdateTime", CONCATENATE("TUPLENUM:", ROW()-2))</f>
        <v>#N/A</v>
      </c>
      <c r="AF65" t="e">
        <f>RTD("streambase.rtd",,"STREAM:AppOut", "FIELD:ReplacedbyReqID", CONCATENATE("TUPLENUM:", ROW()-2))</f>
        <v>#N/A</v>
      </c>
      <c r="AG65" t="e">
        <f>RTD("streambase.rtd",,"STREAM:AppOut", "FIELD:LeavesQty", CONCATENATE("TUPLENUM:", ROW()-2))</f>
        <v>#N/A</v>
      </c>
      <c r="AH65" t="e">
        <f>RTD("streambase.rtd",,"STREAM:AppOut", "FIELD:Account", CONCATENATE("TUPLENUM:", ROW()-2))</f>
        <v>#N/A</v>
      </c>
      <c r="AI65" t="e">
        <f>RTD("streambase.rtd",,"STREAM:AppOut", "FIELD:TradeDate", CONCATENATE("TUPLENUM:", ROW()-2))</f>
        <v>#N/A</v>
      </c>
    </row>
    <row r="66" spans="1:35">
      <c r="A66" t="str">
        <f>IF(B66="","",RTD("streambase.rtd",,"STREAM:AppOut", "FIELD:OrderStatus", "LOCALFILTER:AppOrdID==""" &amp; $B66 &amp; """"))</f>
        <v/>
      </c>
      <c r="B66" s="15" t="str">
        <f>IF(E66="","",VLOOKUP(E66,Params!O:P,2,FALSE)&amp;"_"&amp;VLOOKUP(F66,Params!R:S,2,FALSE)&amp;"_"&amp;VLOOKUP(G66,Params!U:V,2,FALSE)&amp;"_"&amp;"00"&amp;ROW()-1)</f>
        <v/>
      </c>
      <c r="C66" s="6"/>
      <c r="D66" s="6"/>
      <c r="H66" s="6"/>
      <c r="I66" s="6"/>
      <c r="L66" s="6"/>
      <c r="M66" s="6"/>
      <c r="N66" t="str">
        <f>IF(B66="","",RTD("streambase.rtd",,"STREAM:AppOut", "FIELD:CumQty", "LOCALFILTER:AppOrdID==""" &amp; $B66 &amp; """"))</f>
        <v/>
      </c>
      <c r="O66" t="str">
        <f>IF(B66="","",RTD("streambase.rtd",,"STREAM:AppOut", "FIELD:AvgPx", "LOCALFILTER:AppOrdID==""" &amp; $B66 &amp; """"))</f>
        <v/>
      </c>
      <c r="U66" t="e">
        <f>RTD("streambase.rtd",,"STREAM:AppOut", "FIELD:AppOrdID", CONCATENATE("TUPLENUM:", ROW()-2))</f>
        <v>#N/A</v>
      </c>
      <c r="V66" t="e">
        <f>RTD("streambase.rtd",,"STREAM:AppOut", "FIELD:AppCxlRplID", CONCATENATE("TUPLENUM:", ROW()-2))</f>
        <v>#N/A</v>
      </c>
      <c r="W66" t="e">
        <f>RTD("streambase.rtd",,"STREAM:AppOut", "FIELD:Symbol", CONCATENATE("TUPLENUM:", ROW()-2))</f>
        <v>#N/A</v>
      </c>
      <c r="X66" t="e">
        <f>RTD("streambase.rtd",,"STREAM:AppOut", "FIELD:OrderStatus", CONCATENATE("TUPLENUM:", ROW()-2))</f>
        <v>#N/A</v>
      </c>
      <c r="Y66" t="e">
        <f>RTD("streambase.rtd",,"STREAM:AppOut", "FIELD:BuySell", CONCATENATE("TUPLENUM:", ROW()-2))</f>
        <v>#N/A</v>
      </c>
      <c r="Z66" t="e">
        <f>RTD("streambase.rtd",,"STREAM:AppOut", "FIELD:Price", CONCATENATE("TUPLENUM:", ROW()-2))</f>
        <v>#N/A</v>
      </c>
      <c r="AA66" t="e">
        <f>RTD("streambase.rtd",,"STREAM:AppOut", "FIELD:OrderQty", CONCATENATE("TUPLENUM:", ROW()-2))</f>
        <v>#N/A</v>
      </c>
      <c r="AB66" t="e">
        <f>RTD("streambase.rtd",,"STREAM:AppOut", "FIELD:CumQty", CONCATENATE("TUPLENUM:", ROW()-2))</f>
        <v>#N/A</v>
      </c>
      <c r="AC66" t="e">
        <f>RTD("streambase.rtd",,"STREAM:AppOut", "FIELD:AvgPx", CONCATENATE("TUPLENUM:", ROW()-2))</f>
        <v>#N/A</v>
      </c>
      <c r="AD66" t="e">
        <f>RTD("streambase.rtd",,"STREAM:AppOut", "FIELD:UpdateNumber", CONCATENATE("TUPLENUM:", ROW()-2))</f>
        <v>#N/A</v>
      </c>
      <c r="AE66" s="11" t="e">
        <f>RTD("streambase.rtd",,"STREAM:AppOut", "FIELD:UpdateTime", CONCATENATE("TUPLENUM:", ROW()-2))</f>
        <v>#N/A</v>
      </c>
      <c r="AF66" t="e">
        <f>RTD("streambase.rtd",,"STREAM:AppOut", "FIELD:ReplacedbyReqID", CONCATENATE("TUPLENUM:", ROW()-2))</f>
        <v>#N/A</v>
      </c>
      <c r="AG66" t="e">
        <f>RTD("streambase.rtd",,"STREAM:AppOut", "FIELD:LeavesQty", CONCATENATE("TUPLENUM:", ROW()-2))</f>
        <v>#N/A</v>
      </c>
      <c r="AH66" t="e">
        <f>RTD("streambase.rtd",,"STREAM:AppOut", "FIELD:Account", CONCATENATE("TUPLENUM:", ROW()-2))</f>
        <v>#N/A</v>
      </c>
      <c r="AI66" t="e">
        <f>RTD("streambase.rtd",,"STREAM:AppOut", "FIELD:TradeDate", CONCATENATE("TUPLENUM:", ROW()-2))</f>
        <v>#N/A</v>
      </c>
    </row>
    <row r="67" spans="1:35">
      <c r="A67" t="str">
        <f>IF(B67="","",RTD("streambase.rtd",,"STREAM:AppOut", "FIELD:OrderStatus", "LOCALFILTER:AppOrdID==""" &amp; $B67 &amp; """"))</f>
        <v/>
      </c>
      <c r="B67" s="15" t="str">
        <f>IF(E67="","",VLOOKUP(E67,Params!O:P,2,FALSE)&amp;"_"&amp;VLOOKUP(F67,Params!R:S,2,FALSE)&amp;"_"&amp;VLOOKUP(G67,Params!U:V,2,FALSE)&amp;"_"&amp;"00"&amp;ROW()-1)</f>
        <v/>
      </c>
      <c r="C67" s="6"/>
      <c r="D67" s="6"/>
      <c r="H67" s="6"/>
      <c r="I67" s="6"/>
      <c r="L67" s="6"/>
      <c r="M67" s="6"/>
      <c r="N67" t="str">
        <f>IF(B67="","",RTD("streambase.rtd",,"STREAM:AppOut", "FIELD:CumQty", "LOCALFILTER:AppOrdID==""" &amp; $B67 &amp; """"))</f>
        <v/>
      </c>
      <c r="O67" t="str">
        <f>IF(B67="","",RTD("streambase.rtd",,"STREAM:AppOut", "FIELD:AvgPx", "LOCALFILTER:AppOrdID==""" &amp; $B67 &amp; """"))</f>
        <v/>
      </c>
      <c r="U67" t="e">
        <f>RTD("streambase.rtd",,"STREAM:AppOut", "FIELD:AppOrdID", CONCATENATE("TUPLENUM:", ROW()-2))</f>
        <v>#N/A</v>
      </c>
      <c r="V67" t="e">
        <f>RTD("streambase.rtd",,"STREAM:AppOut", "FIELD:AppCxlRplID", CONCATENATE("TUPLENUM:", ROW()-2))</f>
        <v>#N/A</v>
      </c>
      <c r="W67" t="e">
        <f>RTD("streambase.rtd",,"STREAM:AppOut", "FIELD:Symbol", CONCATENATE("TUPLENUM:", ROW()-2))</f>
        <v>#N/A</v>
      </c>
      <c r="X67" t="e">
        <f>RTD("streambase.rtd",,"STREAM:AppOut", "FIELD:OrderStatus", CONCATENATE("TUPLENUM:", ROW()-2))</f>
        <v>#N/A</v>
      </c>
      <c r="Y67" t="e">
        <f>RTD("streambase.rtd",,"STREAM:AppOut", "FIELD:BuySell", CONCATENATE("TUPLENUM:", ROW()-2))</f>
        <v>#N/A</v>
      </c>
      <c r="Z67" t="e">
        <f>RTD("streambase.rtd",,"STREAM:AppOut", "FIELD:Price", CONCATENATE("TUPLENUM:", ROW()-2))</f>
        <v>#N/A</v>
      </c>
      <c r="AA67" t="e">
        <f>RTD("streambase.rtd",,"STREAM:AppOut", "FIELD:OrderQty", CONCATENATE("TUPLENUM:", ROW()-2))</f>
        <v>#N/A</v>
      </c>
      <c r="AB67" t="e">
        <f>RTD("streambase.rtd",,"STREAM:AppOut", "FIELD:CumQty", CONCATENATE("TUPLENUM:", ROW()-2))</f>
        <v>#N/A</v>
      </c>
      <c r="AC67" t="e">
        <f>RTD("streambase.rtd",,"STREAM:AppOut", "FIELD:AvgPx", CONCATENATE("TUPLENUM:", ROW()-2))</f>
        <v>#N/A</v>
      </c>
      <c r="AD67" t="e">
        <f>RTD("streambase.rtd",,"STREAM:AppOut", "FIELD:UpdateNumber", CONCATENATE("TUPLENUM:", ROW()-2))</f>
        <v>#N/A</v>
      </c>
      <c r="AE67" s="11" t="e">
        <f>RTD("streambase.rtd",,"STREAM:AppOut", "FIELD:UpdateTime", CONCATENATE("TUPLENUM:", ROW()-2))</f>
        <v>#N/A</v>
      </c>
      <c r="AF67" t="e">
        <f>RTD("streambase.rtd",,"STREAM:AppOut", "FIELD:ReplacedbyReqID", CONCATENATE("TUPLENUM:", ROW()-2))</f>
        <v>#N/A</v>
      </c>
      <c r="AG67" t="e">
        <f>RTD("streambase.rtd",,"STREAM:AppOut", "FIELD:LeavesQty", CONCATENATE("TUPLENUM:", ROW()-2))</f>
        <v>#N/A</v>
      </c>
      <c r="AH67" t="e">
        <f>RTD("streambase.rtd",,"STREAM:AppOut", "FIELD:Account", CONCATENATE("TUPLENUM:", ROW()-2))</f>
        <v>#N/A</v>
      </c>
      <c r="AI67" t="e">
        <f>RTD("streambase.rtd",,"STREAM:AppOut", "FIELD:TradeDate", CONCATENATE("TUPLENUM:", ROW()-2))</f>
        <v>#N/A</v>
      </c>
    </row>
    <row r="68" spans="1:35">
      <c r="A68" t="str">
        <f>IF(B68="","",RTD("streambase.rtd",,"STREAM:AppOut", "FIELD:OrderStatus", "LOCALFILTER:AppOrdID==""" &amp; $B68 &amp; """"))</f>
        <v/>
      </c>
      <c r="B68" s="15" t="str">
        <f>IF(E68="","",VLOOKUP(E68,Params!O:P,2,FALSE)&amp;"_"&amp;VLOOKUP(F68,Params!R:S,2,FALSE)&amp;"_"&amp;VLOOKUP(G68,Params!U:V,2,FALSE)&amp;"_"&amp;"00"&amp;ROW()-1)</f>
        <v/>
      </c>
      <c r="C68" s="6"/>
      <c r="D68" s="6"/>
      <c r="H68" s="6"/>
      <c r="I68" s="6"/>
      <c r="L68" s="6"/>
      <c r="M68" s="6"/>
      <c r="N68" t="str">
        <f>IF(B68="","",RTD("streambase.rtd",,"STREAM:AppOut", "FIELD:CumQty", "LOCALFILTER:AppOrdID==""" &amp; $B68 &amp; """"))</f>
        <v/>
      </c>
      <c r="O68" t="str">
        <f>IF(B68="","",RTD("streambase.rtd",,"STREAM:AppOut", "FIELD:AvgPx", "LOCALFILTER:AppOrdID==""" &amp; $B68 &amp; """"))</f>
        <v/>
      </c>
      <c r="U68" t="e">
        <f>RTD("streambase.rtd",,"STREAM:AppOut", "FIELD:AppOrdID", CONCATENATE("TUPLENUM:", ROW()-2))</f>
        <v>#N/A</v>
      </c>
      <c r="V68" t="e">
        <f>RTD("streambase.rtd",,"STREAM:AppOut", "FIELD:AppCxlRplID", CONCATENATE("TUPLENUM:", ROW()-2))</f>
        <v>#N/A</v>
      </c>
      <c r="W68" t="e">
        <f>RTD("streambase.rtd",,"STREAM:AppOut", "FIELD:Symbol", CONCATENATE("TUPLENUM:", ROW()-2))</f>
        <v>#N/A</v>
      </c>
      <c r="X68" t="e">
        <f>RTD("streambase.rtd",,"STREAM:AppOut", "FIELD:OrderStatus", CONCATENATE("TUPLENUM:", ROW()-2))</f>
        <v>#N/A</v>
      </c>
      <c r="Y68" t="e">
        <f>RTD("streambase.rtd",,"STREAM:AppOut", "FIELD:BuySell", CONCATENATE("TUPLENUM:", ROW()-2))</f>
        <v>#N/A</v>
      </c>
      <c r="Z68" t="e">
        <f>RTD("streambase.rtd",,"STREAM:AppOut", "FIELD:Price", CONCATENATE("TUPLENUM:", ROW()-2))</f>
        <v>#N/A</v>
      </c>
      <c r="AA68" t="e">
        <f>RTD("streambase.rtd",,"STREAM:AppOut", "FIELD:OrderQty", CONCATENATE("TUPLENUM:", ROW()-2))</f>
        <v>#N/A</v>
      </c>
      <c r="AB68" t="e">
        <f>RTD("streambase.rtd",,"STREAM:AppOut", "FIELD:CumQty", CONCATENATE("TUPLENUM:", ROW()-2))</f>
        <v>#N/A</v>
      </c>
      <c r="AC68" t="e">
        <f>RTD("streambase.rtd",,"STREAM:AppOut", "FIELD:AvgPx", CONCATENATE("TUPLENUM:", ROW()-2))</f>
        <v>#N/A</v>
      </c>
      <c r="AD68" t="e">
        <f>RTD("streambase.rtd",,"STREAM:AppOut", "FIELD:UpdateNumber", CONCATENATE("TUPLENUM:", ROW()-2))</f>
        <v>#N/A</v>
      </c>
      <c r="AE68" s="11" t="e">
        <f>RTD("streambase.rtd",,"STREAM:AppOut", "FIELD:UpdateTime", CONCATENATE("TUPLENUM:", ROW()-2))</f>
        <v>#N/A</v>
      </c>
      <c r="AF68" t="e">
        <f>RTD("streambase.rtd",,"STREAM:AppOut", "FIELD:ReplacedbyReqID", CONCATENATE("TUPLENUM:", ROW()-2))</f>
        <v>#N/A</v>
      </c>
      <c r="AG68" t="e">
        <f>RTD("streambase.rtd",,"STREAM:AppOut", "FIELD:LeavesQty", CONCATENATE("TUPLENUM:", ROW()-2))</f>
        <v>#N/A</v>
      </c>
      <c r="AH68" t="e">
        <f>RTD("streambase.rtd",,"STREAM:AppOut", "FIELD:Account", CONCATENATE("TUPLENUM:", ROW()-2))</f>
        <v>#N/A</v>
      </c>
      <c r="AI68" t="e">
        <f>RTD("streambase.rtd",,"STREAM:AppOut", "FIELD:TradeDate", CONCATENATE("TUPLENUM:", ROW()-2))</f>
        <v>#N/A</v>
      </c>
    </row>
    <row r="69" spans="1:35">
      <c r="A69" t="str">
        <f>IF(B69="","",RTD("streambase.rtd",,"STREAM:AppOut", "FIELD:OrderStatus", "LOCALFILTER:AppOrdID==""" &amp; $B69 &amp; """"))</f>
        <v/>
      </c>
      <c r="B69" s="15" t="str">
        <f>IF(E69="","",VLOOKUP(E69,Params!O:P,2,FALSE)&amp;"_"&amp;VLOOKUP(F69,Params!R:S,2,FALSE)&amp;"_"&amp;VLOOKUP(G69,Params!U:V,2,FALSE)&amp;"_"&amp;"00"&amp;ROW()-1)</f>
        <v/>
      </c>
      <c r="C69" s="6"/>
      <c r="D69" s="6"/>
      <c r="H69" s="6"/>
      <c r="I69" s="6"/>
      <c r="L69" s="6"/>
      <c r="M69" s="6"/>
      <c r="N69" t="str">
        <f>IF(B69="","",RTD("streambase.rtd",,"STREAM:AppOut", "FIELD:CumQty", "LOCALFILTER:AppOrdID==""" &amp; $B69 &amp; """"))</f>
        <v/>
      </c>
      <c r="O69" t="str">
        <f>IF(B69="","",RTD("streambase.rtd",,"STREAM:AppOut", "FIELD:AvgPx", "LOCALFILTER:AppOrdID==""" &amp; $B69 &amp; """"))</f>
        <v/>
      </c>
      <c r="U69" t="e">
        <f>RTD("streambase.rtd",,"STREAM:AppOut", "FIELD:AppOrdID", CONCATENATE("TUPLENUM:", ROW()-2))</f>
        <v>#N/A</v>
      </c>
      <c r="V69" t="e">
        <f>RTD("streambase.rtd",,"STREAM:AppOut", "FIELD:AppCxlRplID", CONCATENATE("TUPLENUM:", ROW()-2))</f>
        <v>#N/A</v>
      </c>
      <c r="W69" t="e">
        <f>RTD("streambase.rtd",,"STREAM:AppOut", "FIELD:Symbol", CONCATENATE("TUPLENUM:", ROW()-2))</f>
        <v>#N/A</v>
      </c>
      <c r="X69" t="e">
        <f>RTD("streambase.rtd",,"STREAM:AppOut", "FIELD:OrderStatus", CONCATENATE("TUPLENUM:", ROW()-2))</f>
        <v>#N/A</v>
      </c>
      <c r="Y69" t="e">
        <f>RTD("streambase.rtd",,"STREAM:AppOut", "FIELD:BuySell", CONCATENATE("TUPLENUM:", ROW()-2))</f>
        <v>#N/A</v>
      </c>
      <c r="Z69" t="e">
        <f>RTD("streambase.rtd",,"STREAM:AppOut", "FIELD:Price", CONCATENATE("TUPLENUM:", ROW()-2))</f>
        <v>#N/A</v>
      </c>
      <c r="AA69" t="e">
        <f>RTD("streambase.rtd",,"STREAM:AppOut", "FIELD:OrderQty", CONCATENATE("TUPLENUM:", ROW()-2))</f>
        <v>#N/A</v>
      </c>
      <c r="AB69" t="e">
        <f>RTD("streambase.rtd",,"STREAM:AppOut", "FIELD:CumQty", CONCATENATE("TUPLENUM:", ROW()-2))</f>
        <v>#N/A</v>
      </c>
      <c r="AC69" t="e">
        <f>RTD("streambase.rtd",,"STREAM:AppOut", "FIELD:AvgPx", CONCATENATE("TUPLENUM:", ROW()-2))</f>
        <v>#N/A</v>
      </c>
      <c r="AD69" t="e">
        <f>RTD("streambase.rtd",,"STREAM:AppOut", "FIELD:UpdateNumber", CONCATENATE("TUPLENUM:", ROW()-2))</f>
        <v>#N/A</v>
      </c>
      <c r="AE69" s="11" t="e">
        <f>RTD("streambase.rtd",,"STREAM:AppOut", "FIELD:UpdateTime", CONCATENATE("TUPLENUM:", ROW()-2))</f>
        <v>#N/A</v>
      </c>
      <c r="AF69" t="e">
        <f>RTD("streambase.rtd",,"STREAM:AppOut", "FIELD:ReplacedbyReqID", CONCATENATE("TUPLENUM:", ROW()-2))</f>
        <v>#N/A</v>
      </c>
      <c r="AG69" t="e">
        <f>RTD("streambase.rtd",,"STREAM:AppOut", "FIELD:LeavesQty", CONCATENATE("TUPLENUM:", ROW()-2))</f>
        <v>#N/A</v>
      </c>
      <c r="AH69" t="e">
        <f>RTD("streambase.rtd",,"STREAM:AppOut", "FIELD:Account", CONCATENATE("TUPLENUM:", ROW()-2))</f>
        <v>#N/A</v>
      </c>
      <c r="AI69" t="e">
        <f>RTD("streambase.rtd",,"STREAM:AppOut", "FIELD:TradeDate", CONCATENATE("TUPLENUM:", ROW()-2))</f>
        <v>#N/A</v>
      </c>
    </row>
    <row r="70" spans="1:35">
      <c r="A70" t="str">
        <f>IF(B70="","",RTD("streambase.rtd",,"STREAM:AppOut", "FIELD:OrderStatus", "LOCALFILTER:AppOrdID==""" &amp; $B70 &amp; """"))</f>
        <v/>
      </c>
      <c r="B70" s="15" t="str">
        <f>IF(E70="","",VLOOKUP(E70,Params!O:P,2,FALSE)&amp;"_"&amp;VLOOKUP(F70,Params!R:S,2,FALSE)&amp;"_"&amp;VLOOKUP(G70,Params!U:V,2,FALSE)&amp;"_"&amp;"00"&amp;ROW()-1)</f>
        <v/>
      </c>
      <c r="C70" s="6"/>
      <c r="D70" s="6"/>
      <c r="H70" s="6"/>
      <c r="I70" s="6"/>
      <c r="L70" s="6"/>
      <c r="M70" s="6"/>
      <c r="N70" t="str">
        <f>IF(B70="","",RTD("streambase.rtd",,"STREAM:AppOut", "FIELD:CumQty", "LOCALFILTER:AppOrdID==""" &amp; $B70 &amp; """"))</f>
        <v/>
      </c>
      <c r="O70" t="str">
        <f>IF(B70="","",RTD("streambase.rtd",,"STREAM:AppOut", "FIELD:AvgPx", "LOCALFILTER:AppOrdID==""" &amp; $B70 &amp; """"))</f>
        <v/>
      </c>
      <c r="U70" t="e">
        <f>RTD("streambase.rtd",,"STREAM:AppOut", "FIELD:AppOrdID", CONCATENATE("TUPLENUM:", ROW()-2))</f>
        <v>#N/A</v>
      </c>
      <c r="V70" t="e">
        <f>RTD("streambase.rtd",,"STREAM:AppOut", "FIELD:AppCxlRplID", CONCATENATE("TUPLENUM:", ROW()-2))</f>
        <v>#N/A</v>
      </c>
      <c r="W70" t="e">
        <f>RTD("streambase.rtd",,"STREAM:AppOut", "FIELD:Symbol", CONCATENATE("TUPLENUM:", ROW()-2))</f>
        <v>#N/A</v>
      </c>
      <c r="X70" t="e">
        <f>RTD("streambase.rtd",,"STREAM:AppOut", "FIELD:OrderStatus", CONCATENATE("TUPLENUM:", ROW()-2))</f>
        <v>#N/A</v>
      </c>
      <c r="Y70" t="e">
        <f>RTD("streambase.rtd",,"STREAM:AppOut", "FIELD:BuySell", CONCATENATE("TUPLENUM:", ROW()-2))</f>
        <v>#N/A</v>
      </c>
      <c r="Z70" t="e">
        <f>RTD("streambase.rtd",,"STREAM:AppOut", "FIELD:Price", CONCATENATE("TUPLENUM:", ROW()-2))</f>
        <v>#N/A</v>
      </c>
      <c r="AA70" t="e">
        <f>RTD("streambase.rtd",,"STREAM:AppOut", "FIELD:OrderQty", CONCATENATE("TUPLENUM:", ROW()-2))</f>
        <v>#N/A</v>
      </c>
      <c r="AB70" t="e">
        <f>RTD("streambase.rtd",,"STREAM:AppOut", "FIELD:CumQty", CONCATENATE("TUPLENUM:", ROW()-2))</f>
        <v>#N/A</v>
      </c>
      <c r="AC70" t="e">
        <f>RTD("streambase.rtd",,"STREAM:AppOut", "FIELD:AvgPx", CONCATENATE("TUPLENUM:", ROW()-2))</f>
        <v>#N/A</v>
      </c>
      <c r="AD70" t="e">
        <f>RTD("streambase.rtd",,"STREAM:AppOut", "FIELD:UpdateNumber", CONCATENATE("TUPLENUM:", ROW()-2))</f>
        <v>#N/A</v>
      </c>
      <c r="AE70" s="11" t="e">
        <f>RTD("streambase.rtd",,"STREAM:AppOut", "FIELD:UpdateTime", CONCATENATE("TUPLENUM:", ROW()-2))</f>
        <v>#N/A</v>
      </c>
      <c r="AF70" t="e">
        <f>RTD("streambase.rtd",,"STREAM:AppOut", "FIELD:ReplacedbyReqID", CONCATENATE("TUPLENUM:", ROW()-2))</f>
        <v>#N/A</v>
      </c>
      <c r="AG70" t="e">
        <f>RTD("streambase.rtd",,"STREAM:AppOut", "FIELD:LeavesQty", CONCATENATE("TUPLENUM:", ROW()-2))</f>
        <v>#N/A</v>
      </c>
      <c r="AH70" t="e">
        <f>RTD("streambase.rtd",,"STREAM:AppOut", "FIELD:Account", CONCATENATE("TUPLENUM:", ROW()-2))</f>
        <v>#N/A</v>
      </c>
      <c r="AI70" t="e">
        <f>RTD("streambase.rtd",,"STREAM:AppOut", "FIELD:TradeDate", CONCATENATE("TUPLENUM:", ROW()-2))</f>
        <v>#N/A</v>
      </c>
    </row>
    <row r="71" spans="1:35">
      <c r="A71" t="str">
        <f>IF(B71="","",RTD("streambase.rtd",,"STREAM:AppOut", "FIELD:OrderStatus", "LOCALFILTER:AppOrdID==""" &amp; $B71 &amp; """"))</f>
        <v/>
      </c>
      <c r="B71" s="15" t="str">
        <f>IF(E71="","",VLOOKUP(E71,Params!O:P,2,FALSE)&amp;"_"&amp;VLOOKUP(F71,Params!R:S,2,FALSE)&amp;"_"&amp;VLOOKUP(G71,Params!U:V,2,FALSE)&amp;"_"&amp;"00"&amp;ROW()-1)</f>
        <v/>
      </c>
      <c r="C71" s="6"/>
      <c r="D71" s="6"/>
      <c r="H71" s="6"/>
      <c r="I71" s="6"/>
      <c r="L71" s="6"/>
      <c r="M71" s="6"/>
      <c r="N71" t="str">
        <f>IF(B71="","",RTD("streambase.rtd",,"STREAM:AppOut", "FIELD:CumQty", "LOCALFILTER:AppOrdID==""" &amp; $B71 &amp; """"))</f>
        <v/>
      </c>
      <c r="O71" t="str">
        <f>IF(B71="","",RTD("streambase.rtd",,"STREAM:AppOut", "FIELD:AvgPx", "LOCALFILTER:AppOrdID==""" &amp; $B71 &amp; """"))</f>
        <v/>
      </c>
      <c r="U71" t="e">
        <f>RTD("streambase.rtd",,"STREAM:AppOut", "FIELD:AppOrdID", CONCATENATE("TUPLENUM:", ROW()-2))</f>
        <v>#N/A</v>
      </c>
      <c r="V71" t="e">
        <f>RTD("streambase.rtd",,"STREAM:AppOut", "FIELD:AppCxlRplID", CONCATENATE("TUPLENUM:", ROW()-2))</f>
        <v>#N/A</v>
      </c>
      <c r="W71" t="e">
        <f>RTD("streambase.rtd",,"STREAM:AppOut", "FIELD:Symbol", CONCATENATE("TUPLENUM:", ROW()-2))</f>
        <v>#N/A</v>
      </c>
      <c r="X71" t="e">
        <f>RTD("streambase.rtd",,"STREAM:AppOut", "FIELD:OrderStatus", CONCATENATE("TUPLENUM:", ROW()-2))</f>
        <v>#N/A</v>
      </c>
      <c r="Y71" t="e">
        <f>RTD("streambase.rtd",,"STREAM:AppOut", "FIELD:BuySell", CONCATENATE("TUPLENUM:", ROW()-2))</f>
        <v>#N/A</v>
      </c>
      <c r="Z71" t="e">
        <f>RTD("streambase.rtd",,"STREAM:AppOut", "FIELD:Price", CONCATENATE("TUPLENUM:", ROW()-2))</f>
        <v>#N/A</v>
      </c>
      <c r="AA71" t="e">
        <f>RTD("streambase.rtd",,"STREAM:AppOut", "FIELD:OrderQty", CONCATENATE("TUPLENUM:", ROW()-2))</f>
        <v>#N/A</v>
      </c>
      <c r="AB71" t="e">
        <f>RTD("streambase.rtd",,"STREAM:AppOut", "FIELD:CumQty", CONCATENATE("TUPLENUM:", ROW()-2))</f>
        <v>#N/A</v>
      </c>
      <c r="AC71" t="e">
        <f>RTD("streambase.rtd",,"STREAM:AppOut", "FIELD:AvgPx", CONCATENATE("TUPLENUM:", ROW()-2))</f>
        <v>#N/A</v>
      </c>
      <c r="AD71" t="e">
        <f>RTD("streambase.rtd",,"STREAM:AppOut", "FIELD:UpdateNumber", CONCATENATE("TUPLENUM:", ROW()-2))</f>
        <v>#N/A</v>
      </c>
      <c r="AE71" s="11" t="e">
        <f>RTD("streambase.rtd",,"STREAM:AppOut", "FIELD:UpdateTime", CONCATENATE("TUPLENUM:", ROW()-2))</f>
        <v>#N/A</v>
      </c>
      <c r="AF71" t="e">
        <f>RTD("streambase.rtd",,"STREAM:AppOut", "FIELD:ReplacedbyReqID", CONCATENATE("TUPLENUM:", ROW()-2))</f>
        <v>#N/A</v>
      </c>
      <c r="AG71" t="e">
        <f>RTD("streambase.rtd",,"STREAM:AppOut", "FIELD:LeavesQty", CONCATENATE("TUPLENUM:", ROW()-2))</f>
        <v>#N/A</v>
      </c>
      <c r="AH71" t="e">
        <f>RTD("streambase.rtd",,"STREAM:AppOut", "FIELD:Account", CONCATENATE("TUPLENUM:", ROW()-2))</f>
        <v>#N/A</v>
      </c>
      <c r="AI71" t="e">
        <f>RTD("streambase.rtd",,"STREAM:AppOut", "FIELD:TradeDate", CONCATENATE("TUPLENUM:", ROW()-2))</f>
        <v>#N/A</v>
      </c>
    </row>
    <row r="72" spans="1:35">
      <c r="A72" t="str">
        <f>IF(B72="","",RTD("streambase.rtd",,"STREAM:AppOut", "FIELD:OrderStatus", "LOCALFILTER:AppOrdID==""" &amp; $B72 &amp; """"))</f>
        <v/>
      </c>
      <c r="B72" s="15" t="str">
        <f>IF(E72="","",VLOOKUP(E72,Params!O:P,2,FALSE)&amp;"_"&amp;VLOOKUP(F72,Params!R:S,2,FALSE)&amp;"_"&amp;VLOOKUP(G72,Params!U:V,2,FALSE)&amp;"_"&amp;"00"&amp;ROW()-1)</f>
        <v/>
      </c>
      <c r="C72" s="6"/>
      <c r="D72" s="6"/>
      <c r="H72" s="6"/>
      <c r="I72" s="6"/>
      <c r="L72" s="6"/>
      <c r="M72" s="6"/>
      <c r="N72" t="str">
        <f>IF(B72="","",RTD("streambase.rtd",,"STREAM:AppOut", "FIELD:CumQty", "LOCALFILTER:AppOrdID==""" &amp; $B72 &amp; """"))</f>
        <v/>
      </c>
      <c r="O72" t="str">
        <f>IF(B72="","",RTD("streambase.rtd",,"STREAM:AppOut", "FIELD:AvgPx", "LOCALFILTER:AppOrdID==""" &amp; $B72 &amp; """"))</f>
        <v/>
      </c>
      <c r="U72" t="e">
        <f>RTD("streambase.rtd",,"STREAM:AppOut", "FIELD:AppOrdID", CONCATENATE("TUPLENUM:", ROW()-2))</f>
        <v>#N/A</v>
      </c>
      <c r="V72" t="e">
        <f>RTD("streambase.rtd",,"STREAM:AppOut", "FIELD:AppCxlRplID", CONCATENATE("TUPLENUM:", ROW()-2))</f>
        <v>#N/A</v>
      </c>
      <c r="W72" t="e">
        <f>RTD("streambase.rtd",,"STREAM:AppOut", "FIELD:Symbol", CONCATENATE("TUPLENUM:", ROW()-2))</f>
        <v>#N/A</v>
      </c>
      <c r="X72" t="e">
        <f>RTD("streambase.rtd",,"STREAM:AppOut", "FIELD:OrderStatus", CONCATENATE("TUPLENUM:", ROW()-2))</f>
        <v>#N/A</v>
      </c>
      <c r="Y72" t="e">
        <f>RTD("streambase.rtd",,"STREAM:AppOut", "FIELD:BuySell", CONCATENATE("TUPLENUM:", ROW()-2))</f>
        <v>#N/A</v>
      </c>
      <c r="Z72" t="e">
        <f>RTD("streambase.rtd",,"STREAM:AppOut", "FIELD:Price", CONCATENATE("TUPLENUM:", ROW()-2))</f>
        <v>#N/A</v>
      </c>
      <c r="AA72" t="e">
        <f>RTD("streambase.rtd",,"STREAM:AppOut", "FIELD:OrderQty", CONCATENATE("TUPLENUM:", ROW()-2))</f>
        <v>#N/A</v>
      </c>
      <c r="AB72" t="e">
        <f>RTD("streambase.rtd",,"STREAM:AppOut", "FIELD:CumQty", CONCATENATE("TUPLENUM:", ROW()-2))</f>
        <v>#N/A</v>
      </c>
      <c r="AC72" t="e">
        <f>RTD("streambase.rtd",,"STREAM:AppOut", "FIELD:AvgPx", CONCATENATE("TUPLENUM:", ROW()-2))</f>
        <v>#N/A</v>
      </c>
      <c r="AD72" t="e">
        <f>RTD("streambase.rtd",,"STREAM:AppOut", "FIELD:UpdateNumber", CONCATENATE("TUPLENUM:", ROW()-2))</f>
        <v>#N/A</v>
      </c>
      <c r="AE72" s="11" t="e">
        <f>RTD("streambase.rtd",,"STREAM:AppOut", "FIELD:UpdateTime", CONCATENATE("TUPLENUM:", ROW()-2))</f>
        <v>#N/A</v>
      </c>
      <c r="AF72" t="e">
        <f>RTD("streambase.rtd",,"STREAM:AppOut", "FIELD:ReplacedbyReqID", CONCATENATE("TUPLENUM:", ROW()-2))</f>
        <v>#N/A</v>
      </c>
      <c r="AG72" t="e">
        <f>RTD("streambase.rtd",,"STREAM:AppOut", "FIELD:LeavesQty", CONCATENATE("TUPLENUM:", ROW()-2))</f>
        <v>#N/A</v>
      </c>
      <c r="AH72" t="e">
        <f>RTD("streambase.rtd",,"STREAM:AppOut", "FIELD:Account", CONCATENATE("TUPLENUM:", ROW()-2))</f>
        <v>#N/A</v>
      </c>
      <c r="AI72" t="e">
        <f>RTD("streambase.rtd",,"STREAM:AppOut", "FIELD:TradeDate", CONCATENATE("TUPLENUM:", ROW()-2))</f>
        <v>#N/A</v>
      </c>
    </row>
    <row r="73" spans="1:35">
      <c r="A73" t="str">
        <f>IF(B73="","",RTD("streambase.rtd",,"STREAM:AppOut", "FIELD:OrderStatus", "LOCALFILTER:AppOrdID==""" &amp; $B73 &amp; """"))</f>
        <v/>
      </c>
      <c r="B73" s="15" t="str">
        <f>IF(E73="","",VLOOKUP(E73,Params!O:P,2,FALSE)&amp;"_"&amp;VLOOKUP(F73,Params!R:S,2,FALSE)&amp;"_"&amp;VLOOKUP(G73,Params!U:V,2,FALSE)&amp;"_"&amp;"00"&amp;ROW()-1)</f>
        <v/>
      </c>
      <c r="C73" s="6"/>
      <c r="D73" s="6"/>
      <c r="H73" s="6"/>
      <c r="I73" s="6"/>
      <c r="L73" s="6"/>
      <c r="M73" s="6"/>
      <c r="N73" t="str">
        <f>IF(B73="","",RTD("streambase.rtd",,"STREAM:AppOut", "FIELD:CumQty", "LOCALFILTER:AppOrdID==""" &amp; $B73 &amp; """"))</f>
        <v/>
      </c>
      <c r="O73" t="str">
        <f>IF(B73="","",RTD("streambase.rtd",,"STREAM:AppOut", "FIELD:AvgPx", "LOCALFILTER:AppOrdID==""" &amp; $B73 &amp; """"))</f>
        <v/>
      </c>
      <c r="U73" t="e">
        <f>RTD("streambase.rtd",,"STREAM:AppOut", "FIELD:AppOrdID", CONCATENATE("TUPLENUM:", ROW()-2))</f>
        <v>#N/A</v>
      </c>
      <c r="V73" t="e">
        <f>RTD("streambase.rtd",,"STREAM:AppOut", "FIELD:AppCxlRplID", CONCATENATE("TUPLENUM:", ROW()-2))</f>
        <v>#N/A</v>
      </c>
      <c r="W73" t="e">
        <f>RTD("streambase.rtd",,"STREAM:AppOut", "FIELD:Symbol", CONCATENATE("TUPLENUM:", ROW()-2))</f>
        <v>#N/A</v>
      </c>
      <c r="X73" t="e">
        <f>RTD("streambase.rtd",,"STREAM:AppOut", "FIELD:OrderStatus", CONCATENATE("TUPLENUM:", ROW()-2))</f>
        <v>#N/A</v>
      </c>
      <c r="Y73" t="e">
        <f>RTD("streambase.rtd",,"STREAM:AppOut", "FIELD:BuySell", CONCATENATE("TUPLENUM:", ROW()-2))</f>
        <v>#N/A</v>
      </c>
      <c r="Z73" t="e">
        <f>RTD("streambase.rtd",,"STREAM:AppOut", "FIELD:Price", CONCATENATE("TUPLENUM:", ROW()-2))</f>
        <v>#N/A</v>
      </c>
      <c r="AA73" t="e">
        <f>RTD("streambase.rtd",,"STREAM:AppOut", "FIELD:OrderQty", CONCATENATE("TUPLENUM:", ROW()-2))</f>
        <v>#N/A</v>
      </c>
      <c r="AB73" t="e">
        <f>RTD("streambase.rtd",,"STREAM:AppOut", "FIELD:CumQty", CONCATENATE("TUPLENUM:", ROW()-2))</f>
        <v>#N/A</v>
      </c>
      <c r="AC73" t="e">
        <f>RTD("streambase.rtd",,"STREAM:AppOut", "FIELD:AvgPx", CONCATENATE("TUPLENUM:", ROW()-2))</f>
        <v>#N/A</v>
      </c>
      <c r="AD73" t="e">
        <f>RTD("streambase.rtd",,"STREAM:AppOut", "FIELD:UpdateNumber", CONCATENATE("TUPLENUM:", ROW()-2))</f>
        <v>#N/A</v>
      </c>
      <c r="AE73" s="11" t="e">
        <f>RTD("streambase.rtd",,"STREAM:AppOut", "FIELD:UpdateTime", CONCATENATE("TUPLENUM:", ROW()-2))</f>
        <v>#N/A</v>
      </c>
      <c r="AF73" t="e">
        <f>RTD("streambase.rtd",,"STREAM:AppOut", "FIELD:ReplacedbyReqID", CONCATENATE("TUPLENUM:", ROW()-2))</f>
        <v>#N/A</v>
      </c>
      <c r="AG73" t="e">
        <f>RTD("streambase.rtd",,"STREAM:AppOut", "FIELD:LeavesQty", CONCATENATE("TUPLENUM:", ROW()-2))</f>
        <v>#N/A</v>
      </c>
      <c r="AH73" t="e">
        <f>RTD("streambase.rtd",,"STREAM:AppOut", "FIELD:Account", CONCATENATE("TUPLENUM:", ROW()-2))</f>
        <v>#N/A</v>
      </c>
      <c r="AI73" t="e">
        <f>RTD("streambase.rtd",,"STREAM:AppOut", "FIELD:TradeDate", CONCATENATE("TUPLENUM:", ROW()-2))</f>
        <v>#N/A</v>
      </c>
    </row>
    <row r="74" spans="1:35">
      <c r="A74" t="str">
        <f>IF(B74="","",RTD("streambase.rtd",,"STREAM:AppOut", "FIELD:OrderStatus", "LOCALFILTER:AppOrdID==""" &amp; $B74 &amp; """"))</f>
        <v/>
      </c>
      <c r="B74" s="15" t="str">
        <f>IF(E74="","",VLOOKUP(E74,Params!O:P,2,FALSE)&amp;"_"&amp;VLOOKUP(F74,Params!R:S,2,FALSE)&amp;"_"&amp;VLOOKUP(G74,Params!U:V,2,FALSE)&amp;"_"&amp;"00"&amp;ROW()-1)</f>
        <v/>
      </c>
      <c r="C74" s="6"/>
      <c r="D74" s="6"/>
      <c r="I74" s="6"/>
      <c r="L74" s="6"/>
      <c r="M74" s="6"/>
      <c r="N74" t="str">
        <f>IF(B74="","",RTD("streambase.rtd",,"STREAM:AppOut", "FIELD:CumQty", "LOCALFILTER:AppOrdID==""" &amp; $B74 &amp; """"))</f>
        <v/>
      </c>
      <c r="O74" t="str">
        <f>IF(B74="","",RTD("streambase.rtd",,"STREAM:AppOut", "FIELD:AvgPx", "LOCALFILTER:AppOrdID==""" &amp; $B74 &amp; """"))</f>
        <v/>
      </c>
      <c r="U74" t="e">
        <f>RTD("streambase.rtd",,"STREAM:AppOut", "FIELD:AppOrdID", CONCATENATE("TUPLENUM:", ROW()-2))</f>
        <v>#N/A</v>
      </c>
      <c r="V74" t="e">
        <f>RTD("streambase.rtd",,"STREAM:AppOut", "FIELD:AppCxlRplID", CONCATENATE("TUPLENUM:", ROW()-2))</f>
        <v>#N/A</v>
      </c>
      <c r="W74" t="e">
        <f>RTD("streambase.rtd",,"STREAM:AppOut", "FIELD:Symbol", CONCATENATE("TUPLENUM:", ROW()-2))</f>
        <v>#N/A</v>
      </c>
      <c r="X74" t="e">
        <f>RTD("streambase.rtd",,"STREAM:AppOut", "FIELD:OrderStatus", CONCATENATE("TUPLENUM:", ROW()-2))</f>
        <v>#N/A</v>
      </c>
      <c r="Y74" t="e">
        <f>RTD("streambase.rtd",,"STREAM:AppOut", "FIELD:BuySell", CONCATENATE("TUPLENUM:", ROW()-2))</f>
        <v>#N/A</v>
      </c>
      <c r="Z74" t="e">
        <f>RTD("streambase.rtd",,"STREAM:AppOut", "FIELD:Price", CONCATENATE("TUPLENUM:", ROW()-2))</f>
        <v>#N/A</v>
      </c>
      <c r="AA74" t="e">
        <f>RTD("streambase.rtd",,"STREAM:AppOut", "FIELD:OrderQty", CONCATENATE("TUPLENUM:", ROW()-2))</f>
        <v>#N/A</v>
      </c>
      <c r="AB74" t="e">
        <f>RTD("streambase.rtd",,"STREAM:AppOut", "FIELD:CumQty", CONCATENATE("TUPLENUM:", ROW()-2))</f>
        <v>#N/A</v>
      </c>
      <c r="AC74" t="e">
        <f>RTD("streambase.rtd",,"STREAM:AppOut", "FIELD:AvgPx", CONCATENATE("TUPLENUM:", ROW()-2))</f>
        <v>#N/A</v>
      </c>
      <c r="AD74" t="e">
        <f>RTD("streambase.rtd",,"STREAM:AppOut", "FIELD:UpdateNumber", CONCATENATE("TUPLENUM:", ROW()-2))</f>
        <v>#N/A</v>
      </c>
      <c r="AE74" s="11" t="e">
        <f>RTD("streambase.rtd",,"STREAM:AppOut", "FIELD:UpdateTime", CONCATENATE("TUPLENUM:", ROW()-2))</f>
        <v>#N/A</v>
      </c>
      <c r="AF74" t="e">
        <f>RTD("streambase.rtd",,"STREAM:AppOut", "FIELD:ReplacedbyReqID", CONCATENATE("TUPLENUM:", ROW()-2))</f>
        <v>#N/A</v>
      </c>
      <c r="AG74" t="e">
        <f>RTD("streambase.rtd",,"STREAM:AppOut", "FIELD:LeavesQty", CONCATENATE("TUPLENUM:", ROW()-2))</f>
        <v>#N/A</v>
      </c>
      <c r="AH74" t="e">
        <f>RTD("streambase.rtd",,"STREAM:AppOut", "FIELD:Account", CONCATENATE("TUPLENUM:", ROW()-2))</f>
        <v>#N/A</v>
      </c>
      <c r="AI74" t="e">
        <f>RTD("streambase.rtd",,"STREAM:AppOut", "FIELD:TradeDate", CONCATENATE("TUPLENUM:", ROW()-2))</f>
        <v>#N/A</v>
      </c>
    </row>
    <row r="75" spans="1:35">
      <c r="A75" t="str">
        <f>IF(B75="","",RTD("streambase.rtd",,"STREAM:AppOut", "FIELD:OrderStatus", "LOCALFILTER:AppOrdID==""" &amp; $B75 &amp; """"))</f>
        <v/>
      </c>
      <c r="B75" s="15" t="str">
        <f>IF(E75="","",VLOOKUP(E75,Params!O:P,2,FALSE)&amp;"_"&amp;VLOOKUP(F75,Params!R:S,2,FALSE)&amp;"_"&amp;VLOOKUP(G75,Params!U:V,2,FALSE)&amp;"_"&amp;"00"&amp;ROW()-1)</f>
        <v/>
      </c>
      <c r="C75" s="6"/>
      <c r="D75" s="6"/>
      <c r="I75" s="6"/>
      <c r="L75" s="6"/>
      <c r="M75" s="6"/>
      <c r="N75" t="str">
        <f>IF(B75="","",RTD("streambase.rtd",,"STREAM:AppOut", "FIELD:CumQty", "LOCALFILTER:AppOrdID==""" &amp; $B75 &amp; """"))</f>
        <v/>
      </c>
      <c r="O75" t="str">
        <f>IF(B75="","",RTD("streambase.rtd",,"STREAM:AppOut", "FIELD:AvgPx", "LOCALFILTER:AppOrdID==""" &amp; $B75 &amp; """"))</f>
        <v/>
      </c>
      <c r="U75" t="e">
        <f>RTD("streambase.rtd",,"STREAM:AppOut", "FIELD:AppOrdID", CONCATENATE("TUPLENUM:", ROW()-2))</f>
        <v>#N/A</v>
      </c>
      <c r="V75" t="e">
        <f>RTD("streambase.rtd",,"STREAM:AppOut", "FIELD:AppCxlRplID", CONCATENATE("TUPLENUM:", ROW()-2))</f>
        <v>#N/A</v>
      </c>
      <c r="W75" t="e">
        <f>RTD("streambase.rtd",,"STREAM:AppOut", "FIELD:Symbol", CONCATENATE("TUPLENUM:", ROW()-2))</f>
        <v>#N/A</v>
      </c>
      <c r="X75" t="e">
        <f>RTD("streambase.rtd",,"STREAM:AppOut", "FIELD:OrderStatus", CONCATENATE("TUPLENUM:", ROW()-2))</f>
        <v>#N/A</v>
      </c>
      <c r="Y75" t="e">
        <f>RTD("streambase.rtd",,"STREAM:AppOut", "FIELD:BuySell", CONCATENATE("TUPLENUM:", ROW()-2))</f>
        <v>#N/A</v>
      </c>
      <c r="Z75" t="e">
        <f>RTD("streambase.rtd",,"STREAM:AppOut", "FIELD:Price", CONCATENATE("TUPLENUM:", ROW()-2))</f>
        <v>#N/A</v>
      </c>
      <c r="AA75" t="e">
        <f>RTD("streambase.rtd",,"STREAM:AppOut", "FIELD:OrderQty", CONCATENATE("TUPLENUM:", ROW()-2))</f>
        <v>#N/A</v>
      </c>
      <c r="AB75" t="e">
        <f>RTD("streambase.rtd",,"STREAM:AppOut", "FIELD:CumQty", CONCATENATE("TUPLENUM:", ROW()-2))</f>
        <v>#N/A</v>
      </c>
      <c r="AC75" t="e">
        <f>RTD("streambase.rtd",,"STREAM:AppOut", "FIELD:AvgPx", CONCATENATE("TUPLENUM:", ROW()-2))</f>
        <v>#N/A</v>
      </c>
      <c r="AD75" t="e">
        <f>RTD("streambase.rtd",,"STREAM:AppOut", "FIELD:UpdateNumber", CONCATENATE("TUPLENUM:", ROW()-2))</f>
        <v>#N/A</v>
      </c>
      <c r="AE75" s="11" t="e">
        <f>RTD("streambase.rtd",,"STREAM:AppOut", "FIELD:UpdateTime", CONCATENATE("TUPLENUM:", ROW()-2))</f>
        <v>#N/A</v>
      </c>
      <c r="AF75" t="e">
        <f>RTD("streambase.rtd",,"STREAM:AppOut", "FIELD:ReplacedbyReqID", CONCATENATE("TUPLENUM:", ROW()-2))</f>
        <v>#N/A</v>
      </c>
      <c r="AG75" t="e">
        <f>RTD("streambase.rtd",,"STREAM:AppOut", "FIELD:LeavesQty", CONCATENATE("TUPLENUM:", ROW()-2))</f>
        <v>#N/A</v>
      </c>
      <c r="AH75" t="e">
        <f>RTD("streambase.rtd",,"STREAM:AppOut", "FIELD:Account", CONCATENATE("TUPLENUM:", ROW()-2))</f>
        <v>#N/A</v>
      </c>
      <c r="AI75" t="e">
        <f>RTD("streambase.rtd",,"STREAM:AppOut", "FIELD:TradeDate", CONCATENATE("TUPLENUM:", ROW()-2))</f>
        <v>#N/A</v>
      </c>
    </row>
    <row r="76" spans="1:35">
      <c r="A76" t="str">
        <f>IF(B76="","",RTD("streambase.rtd",,"STREAM:AppOut", "FIELD:OrderStatus", "LOCALFILTER:AppOrdID==""" &amp; $B76 &amp; """"))</f>
        <v/>
      </c>
      <c r="B76" s="15" t="str">
        <f>IF(E76="","",VLOOKUP(E76,Params!O:P,2,FALSE)&amp;"_"&amp;VLOOKUP(F76,Params!R:S,2,FALSE)&amp;"_"&amp;VLOOKUP(G76,Params!U:V,2,FALSE)&amp;"_"&amp;"00"&amp;ROW()-1)</f>
        <v/>
      </c>
      <c r="C76" s="6"/>
      <c r="D76" s="6"/>
      <c r="I76" s="6"/>
      <c r="L76" s="6"/>
      <c r="M76" s="6"/>
      <c r="N76" t="str">
        <f>IF(B76="","",RTD("streambase.rtd",,"STREAM:AppOut", "FIELD:CumQty", "LOCALFILTER:AppOrdID==""" &amp; $B76 &amp; """"))</f>
        <v/>
      </c>
      <c r="O76" t="str">
        <f>IF(B76="","",RTD("streambase.rtd",,"STREAM:AppOut", "FIELD:AvgPx", "LOCALFILTER:AppOrdID==""" &amp; $B76 &amp; """"))</f>
        <v/>
      </c>
      <c r="U76" t="e">
        <f>RTD("streambase.rtd",,"STREAM:AppOut", "FIELD:AppOrdID", CONCATENATE("TUPLENUM:", ROW()-2))</f>
        <v>#N/A</v>
      </c>
      <c r="V76" t="e">
        <f>RTD("streambase.rtd",,"STREAM:AppOut", "FIELD:AppCxlRplID", CONCATENATE("TUPLENUM:", ROW()-2))</f>
        <v>#N/A</v>
      </c>
      <c r="W76" t="e">
        <f>RTD("streambase.rtd",,"STREAM:AppOut", "FIELD:Symbol", CONCATENATE("TUPLENUM:", ROW()-2))</f>
        <v>#N/A</v>
      </c>
      <c r="X76" t="e">
        <f>RTD("streambase.rtd",,"STREAM:AppOut", "FIELD:OrderStatus", CONCATENATE("TUPLENUM:", ROW()-2))</f>
        <v>#N/A</v>
      </c>
      <c r="Y76" t="e">
        <f>RTD("streambase.rtd",,"STREAM:AppOut", "FIELD:BuySell", CONCATENATE("TUPLENUM:", ROW()-2))</f>
        <v>#N/A</v>
      </c>
      <c r="Z76" t="e">
        <f>RTD("streambase.rtd",,"STREAM:AppOut", "FIELD:Price", CONCATENATE("TUPLENUM:", ROW()-2))</f>
        <v>#N/A</v>
      </c>
      <c r="AA76" t="e">
        <f>RTD("streambase.rtd",,"STREAM:AppOut", "FIELD:OrderQty", CONCATENATE("TUPLENUM:", ROW()-2))</f>
        <v>#N/A</v>
      </c>
      <c r="AB76" t="e">
        <f>RTD("streambase.rtd",,"STREAM:AppOut", "FIELD:CumQty", CONCATENATE("TUPLENUM:", ROW()-2))</f>
        <v>#N/A</v>
      </c>
      <c r="AC76" t="e">
        <f>RTD("streambase.rtd",,"STREAM:AppOut", "FIELD:AvgPx", CONCATENATE("TUPLENUM:", ROW()-2))</f>
        <v>#N/A</v>
      </c>
      <c r="AD76" t="e">
        <f>RTD("streambase.rtd",,"STREAM:AppOut", "FIELD:UpdateNumber", CONCATENATE("TUPLENUM:", ROW()-2))</f>
        <v>#N/A</v>
      </c>
      <c r="AE76" s="11" t="e">
        <f>RTD("streambase.rtd",,"STREAM:AppOut", "FIELD:UpdateTime", CONCATENATE("TUPLENUM:", ROW()-2))</f>
        <v>#N/A</v>
      </c>
      <c r="AF76" t="e">
        <f>RTD("streambase.rtd",,"STREAM:AppOut", "FIELD:ReplacedbyReqID", CONCATENATE("TUPLENUM:", ROW()-2))</f>
        <v>#N/A</v>
      </c>
      <c r="AG76" t="e">
        <f>RTD("streambase.rtd",,"STREAM:AppOut", "FIELD:LeavesQty", CONCATENATE("TUPLENUM:", ROW()-2))</f>
        <v>#N/A</v>
      </c>
      <c r="AH76" t="e">
        <f>RTD("streambase.rtd",,"STREAM:AppOut", "FIELD:Account", CONCATENATE("TUPLENUM:", ROW()-2))</f>
        <v>#N/A</v>
      </c>
      <c r="AI76" t="e">
        <f>RTD("streambase.rtd",,"STREAM:AppOut", "FIELD:TradeDate", CONCATENATE("TUPLENUM:", ROW()-2))</f>
        <v>#N/A</v>
      </c>
    </row>
    <row r="77" spans="1:35">
      <c r="A77" t="str">
        <f>IF(B77="","",RTD("streambase.rtd",,"STREAM:AppOut", "FIELD:OrderStatus", "LOCALFILTER:AppOrdID==""" &amp; $B77 &amp; """"))</f>
        <v/>
      </c>
      <c r="B77" s="15" t="str">
        <f>IF(E77="","",VLOOKUP(E77,Params!O:P,2,FALSE)&amp;"_"&amp;VLOOKUP(F77,Params!R:S,2,FALSE)&amp;"_"&amp;VLOOKUP(G77,Params!U:V,2,FALSE)&amp;"_"&amp;"00"&amp;ROW()-1)</f>
        <v/>
      </c>
      <c r="C77" s="6"/>
      <c r="D77" s="6"/>
      <c r="I77" s="6"/>
      <c r="L77" s="6"/>
      <c r="M77" s="6"/>
      <c r="N77" t="str">
        <f>IF(B77="","",RTD("streambase.rtd",,"STREAM:AppOut", "FIELD:CumQty", "LOCALFILTER:AppOrdID==""" &amp; $B77 &amp; """"))</f>
        <v/>
      </c>
      <c r="O77" t="str">
        <f>IF(B77="","",RTD("streambase.rtd",,"STREAM:AppOut", "FIELD:AvgPx", "LOCALFILTER:AppOrdID==""" &amp; $B77 &amp; """"))</f>
        <v/>
      </c>
      <c r="U77" t="e">
        <f>RTD("streambase.rtd",,"STREAM:AppOut", "FIELD:AppOrdID", CONCATENATE("TUPLENUM:", ROW()-2))</f>
        <v>#N/A</v>
      </c>
      <c r="V77" t="e">
        <f>RTD("streambase.rtd",,"STREAM:AppOut", "FIELD:AppCxlRplID", CONCATENATE("TUPLENUM:", ROW()-2))</f>
        <v>#N/A</v>
      </c>
      <c r="W77" t="e">
        <f>RTD("streambase.rtd",,"STREAM:AppOut", "FIELD:Symbol", CONCATENATE("TUPLENUM:", ROW()-2))</f>
        <v>#N/A</v>
      </c>
      <c r="X77" t="e">
        <f>RTD("streambase.rtd",,"STREAM:AppOut", "FIELD:OrderStatus", CONCATENATE("TUPLENUM:", ROW()-2))</f>
        <v>#N/A</v>
      </c>
      <c r="Y77" t="e">
        <f>RTD("streambase.rtd",,"STREAM:AppOut", "FIELD:BuySell", CONCATENATE("TUPLENUM:", ROW()-2))</f>
        <v>#N/A</v>
      </c>
      <c r="Z77" t="e">
        <f>RTD("streambase.rtd",,"STREAM:AppOut", "FIELD:Price", CONCATENATE("TUPLENUM:", ROW()-2))</f>
        <v>#N/A</v>
      </c>
      <c r="AA77" t="e">
        <f>RTD("streambase.rtd",,"STREAM:AppOut", "FIELD:OrderQty", CONCATENATE("TUPLENUM:", ROW()-2))</f>
        <v>#N/A</v>
      </c>
      <c r="AB77" t="e">
        <f>RTD("streambase.rtd",,"STREAM:AppOut", "FIELD:CumQty", CONCATENATE("TUPLENUM:", ROW()-2))</f>
        <v>#N/A</v>
      </c>
      <c r="AC77" t="e">
        <f>RTD("streambase.rtd",,"STREAM:AppOut", "FIELD:AvgPx", CONCATENATE("TUPLENUM:", ROW()-2))</f>
        <v>#N/A</v>
      </c>
      <c r="AD77" t="e">
        <f>RTD("streambase.rtd",,"STREAM:AppOut", "FIELD:UpdateNumber", CONCATENATE("TUPLENUM:", ROW()-2))</f>
        <v>#N/A</v>
      </c>
      <c r="AE77" s="11" t="e">
        <f>RTD("streambase.rtd",,"STREAM:AppOut", "FIELD:UpdateTime", CONCATENATE("TUPLENUM:", ROW()-2))</f>
        <v>#N/A</v>
      </c>
      <c r="AF77" t="e">
        <f>RTD("streambase.rtd",,"STREAM:AppOut", "FIELD:ReplacedbyReqID", CONCATENATE("TUPLENUM:", ROW()-2))</f>
        <v>#N/A</v>
      </c>
      <c r="AG77" t="e">
        <f>RTD("streambase.rtd",,"STREAM:AppOut", "FIELD:LeavesQty", CONCATENATE("TUPLENUM:", ROW()-2))</f>
        <v>#N/A</v>
      </c>
      <c r="AH77" t="e">
        <f>RTD("streambase.rtd",,"STREAM:AppOut", "FIELD:Account", CONCATENATE("TUPLENUM:", ROW()-2))</f>
        <v>#N/A</v>
      </c>
      <c r="AI77" t="e">
        <f>RTD("streambase.rtd",,"STREAM:AppOut", "FIELD:TradeDate", CONCATENATE("TUPLENUM:", ROW()-2))</f>
        <v>#N/A</v>
      </c>
    </row>
    <row r="78" spans="1:35">
      <c r="A78" t="str">
        <f>IF(B78="","",RTD("streambase.rtd",,"STREAM:AppOut", "FIELD:OrderStatus", "LOCALFILTER:AppOrdID==""" &amp; $B78 &amp; """"))</f>
        <v/>
      </c>
      <c r="B78" s="15" t="str">
        <f>IF(E78="","",VLOOKUP(E78,Params!O:P,2,FALSE)&amp;"_"&amp;VLOOKUP(F78,Params!R:S,2,FALSE)&amp;"_"&amp;VLOOKUP(G78,Params!U:V,2,FALSE)&amp;"_"&amp;"00"&amp;ROW()-1)</f>
        <v/>
      </c>
      <c r="C78" s="6"/>
      <c r="D78" s="6"/>
      <c r="I78" s="6"/>
      <c r="L78" s="6"/>
      <c r="M78" s="6"/>
      <c r="N78" t="str">
        <f>IF(B78="","",RTD("streambase.rtd",,"STREAM:AppOut", "FIELD:CumQty", "LOCALFILTER:AppOrdID==""" &amp; $B78 &amp; """"))</f>
        <v/>
      </c>
      <c r="O78" t="str">
        <f>IF(B78="","",RTD("streambase.rtd",,"STREAM:AppOut", "FIELD:AvgPx", "LOCALFILTER:AppOrdID==""" &amp; $B78 &amp; """"))</f>
        <v/>
      </c>
      <c r="U78" t="e">
        <f>RTD("streambase.rtd",,"STREAM:AppOut", "FIELD:AppOrdID", CONCATENATE("TUPLENUM:", ROW()-2))</f>
        <v>#N/A</v>
      </c>
      <c r="V78" t="e">
        <f>RTD("streambase.rtd",,"STREAM:AppOut", "FIELD:AppCxlRplID", CONCATENATE("TUPLENUM:", ROW()-2))</f>
        <v>#N/A</v>
      </c>
      <c r="W78" t="e">
        <f>RTD("streambase.rtd",,"STREAM:AppOut", "FIELD:Symbol", CONCATENATE("TUPLENUM:", ROW()-2))</f>
        <v>#N/A</v>
      </c>
      <c r="X78" t="e">
        <f>RTD("streambase.rtd",,"STREAM:AppOut", "FIELD:OrderStatus", CONCATENATE("TUPLENUM:", ROW()-2))</f>
        <v>#N/A</v>
      </c>
      <c r="Y78" t="e">
        <f>RTD("streambase.rtd",,"STREAM:AppOut", "FIELD:BuySell", CONCATENATE("TUPLENUM:", ROW()-2))</f>
        <v>#N/A</v>
      </c>
      <c r="Z78" t="e">
        <f>RTD("streambase.rtd",,"STREAM:AppOut", "FIELD:Price", CONCATENATE("TUPLENUM:", ROW()-2))</f>
        <v>#N/A</v>
      </c>
      <c r="AA78" t="e">
        <f>RTD("streambase.rtd",,"STREAM:AppOut", "FIELD:OrderQty", CONCATENATE("TUPLENUM:", ROW()-2))</f>
        <v>#N/A</v>
      </c>
      <c r="AB78" t="e">
        <f>RTD("streambase.rtd",,"STREAM:AppOut", "FIELD:CumQty", CONCATENATE("TUPLENUM:", ROW()-2))</f>
        <v>#N/A</v>
      </c>
      <c r="AC78" t="e">
        <f>RTD("streambase.rtd",,"STREAM:AppOut", "FIELD:AvgPx", CONCATENATE("TUPLENUM:", ROW()-2))</f>
        <v>#N/A</v>
      </c>
      <c r="AD78" t="e">
        <f>RTD("streambase.rtd",,"STREAM:AppOut", "FIELD:UpdateNumber", CONCATENATE("TUPLENUM:", ROW()-2))</f>
        <v>#N/A</v>
      </c>
      <c r="AE78" s="11" t="e">
        <f>RTD("streambase.rtd",,"STREAM:AppOut", "FIELD:UpdateTime", CONCATENATE("TUPLENUM:", ROW()-2))</f>
        <v>#N/A</v>
      </c>
      <c r="AF78" t="e">
        <f>RTD("streambase.rtd",,"STREAM:AppOut", "FIELD:ReplacedbyReqID", CONCATENATE("TUPLENUM:", ROW()-2))</f>
        <v>#N/A</v>
      </c>
      <c r="AG78" t="e">
        <f>RTD("streambase.rtd",,"STREAM:AppOut", "FIELD:LeavesQty", CONCATENATE("TUPLENUM:", ROW()-2))</f>
        <v>#N/A</v>
      </c>
      <c r="AH78" t="e">
        <f>RTD("streambase.rtd",,"STREAM:AppOut", "FIELD:Account", CONCATENATE("TUPLENUM:", ROW()-2))</f>
        <v>#N/A</v>
      </c>
      <c r="AI78" t="e">
        <f>RTD("streambase.rtd",,"STREAM:AppOut", "FIELD:TradeDate", CONCATENATE("TUPLENUM:", ROW()-2))</f>
        <v>#N/A</v>
      </c>
    </row>
    <row r="79" spans="1:35">
      <c r="A79" t="str">
        <f>IF(B79="","",RTD("streambase.rtd",,"STREAM:AppOut", "FIELD:OrderStatus", "LOCALFILTER:AppOrdID==""" &amp; $B79 &amp; """"))</f>
        <v/>
      </c>
      <c r="B79" s="15" t="str">
        <f>IF(E79="","",VLOOKUP(E79,Params!O:P,2,FALSE)&amp;"_"&amp;VLOOKUP(F79,Params!R:S,2,FALSE)&amp;"_"&amp;VLOOKUP(G79,Params!U:V,2,FALSE)&amp;"_"&amp;"00"&amp;ROW()-1)</f>
        <v/>
      </c>
      <c r="C79" s="6"/>
      <c r="D79" s="6"/>
      <c r="I79" s="6"/>
      <c r="L79" s="6"/>
      <c r="M79" s="6"/>
      <c r="N79" t="str">
        <f>IF(B79="","",RTD("streambase.rtd",,"STREAM:AppOut", "FIELD:CumQty", "LOCALFILTER:AppOrdID==""" &amp; $B79 &amp; """"))</f>
        <v/>
      </c>
      <c r="O79" t="str">
        <f>IF(B79="","",RTD("streambase.rtd",,"STREAM:AppOut", "FIELD:AvgPx", "LOCALFILTER:AppOrdID==""" &amp; $B79 &amp; """"))</f>
        <v/>
      </c>
      <c r="U79" t="e">
        <f>RTD("streambase.rtd",,"STREAM:AppOut", "FIELD:AppOrdID", CONCATENATE("TUPLENUM:", ROW()-2))</f>
        <v>#N/A</v>
      </c>
      <c r="V79" t="e">
        <f>RTD("streambase.rtd",,"STREAM:AppOut", "FIELD:AppCxlRplID", CONCATENATE("TUPLENUM:", ROW()-2))</f>
        <v>#N/A</v>
      </c>
      <c r="W79" t="e">
        <f>RTD("streambase.rtd",,"STREAM:AppOut", "FIELD:Symbol", CONCATENATE("TUPLENUM:", ROW()-2))</f>
        <v>#N/A</v>
      </c>
      <c r="X79" t="e">
        <f>RTD("streambase.rtd",,"STREAM:AppOut", "FIELD:OrderStatus", CONCATENATE("TUPLENUM:", ROW()-2))</f>
        <v>#N/A</v>
      </c>
      <c r="Y79" t="e">
        <f>RTD("streambase.rtd",,"STREAM:AppOut", "FIELD:BuySell", CONCATENATE("TUPLENUM:", ROW()-2))</f>
        <v>#N/A</v>
      </c>
      <c r="Z79" t="e">
        <f>RTD("streambase.rtd",,"STREAM:AppOut", "FIELD:Price", CONCATENATE("TUPLENUM:", ROW()-2))</f>
        <v>#N/A</v>
      </c>
      <c r="AA79" t="e">
        <f>RTD("streambase.rtd",,"STREAM:AppOut", "FIELD:OrderQty", CONCATENATE("TUPLENUM:", ROW()-2))</f>
        <v>#N/A</v>
      </c>
      <c r="AB79" t="e">
        <f>RTD("streambase.rtd",,"STREAM:AppOut", "FIELD:CumQty", CONCATENATE("TUPLENUM:", ROW()-2))</f>
        <v>#N/A</v>
      </c>
      <c r="AC79" t="e">
        <f>RTD("streambase.rtd",,"STREAM:AppOut", "FIELD:AvgPx", CONCATENATE("TUPLENUM:", ROW()-2))</f>
        <v>#N/A</v>
      </c>
      <c r="AD79" t="e">
        <f>RTD("streambase.rtd",,"STREAM:AppOut", "FIELD:UpdateNumber", CONCATENATE("TUPLENUM:", ROW()-2))</f>
        <v>#N/A</v>
      </c>
      <c r="AE79" s="11" t="e">
        <f>RTD("streambase.rtd",,"STREAM:AppOut", "FIELD:UpdateTime", CONCATENATE("TUPLENUM:", ROW()-2))</f>
        <v>#N/A</v>
      </c>
      <c r="AF79" t="e">
        <f>RTD("streambase.rtd",,"STREAM:AppOut", "FIELD:ReplacedbyReqID", CONCATENATE("TUPLENUM:", ROW()-2))</f>
        <v>#N/A</v>
      </c>
      <c r="AG79" t="e">
        <f>RTD("streambase.rtd",,"STREAM:AppOut", "FIELD:LeavesQty", CONCATENATE("TUPLENUM:", ROW()-2))</f>
        <v>#N/A</v>
      </c>
      <c r="AH79" t="e">
        <f>RTD("streambase.rtd",,"STREAM:AppOut", "FIELD:Account", CONCATENATE("TUPLENUM:", ROW()-2))</f>
        <v>#N/A</v>
      </c>
      <c r="AI79" t="e">
        <f>RTD("streambase.rtd",,"STREAM:AppOut", "FIELD:TradeDate", CONCATENATE("TUPLENUM:", ROW()-2))</f>
        <v>#N/A</v>
      </c>
    </row>
    <row r="80" spans="1:35">
      <c r="A80" t="str">
        <f>IF(B80="","",RTD("streambase.rtd",,"STREAM:AppOut", "FIELD:OrderStatus", "LOCALFILTER:AppOrdID==""" &amp; $B80 &amp; """"))</f>
        <v/>
      </c>
      <c r="B80" s="15" t="str">
        <f>IF(E80="","",VLOOKUP(E80,Params!O:P,2,FALSE)&amp;"_"&amp;VLOOKUP(F80,Params!R:S,2,FALSE)&amp;"_"&amp;VLOOKUP(G80,Params!U:V,2,FALSE)&amp;"_"&amp;"00"&amp;ROW()-1)</f>
        <v/>
      </c>
      <c r="C80" s="6"/>
      <c r="D80" s="6"/>
      <c r="H80" s="6"/>
      <c r="I80" s="6"/>
      <c r="L80" s="6"/>
      <c r="M80" s="6"/>
      <c r="N80" t="str">
        <f>IF(B80="","",RTD("streambase.rtd",,"STREAM:AppOut", "FIELD:CumQty", "LOCALFILTER:AppOrdID==""" &amp; $B80 &amp; """"))</f>
        <v/>
      </c>
      <c r="O80" t="str">
        <f>IF(B80="","",RTD("streambase.rtd",,"STREAM:AppOut", "FIELD:AvgPx", "LOCALFILTER:AppOrdID==""" &amp; $B80 &amp; """"))</f>
        <v/>
      </c>
      <c r="U80" t="e">
        <f>RTD("streambase.rtd",,"STREAM:AppOut", "FIELD:AppOrdID", CONCATENATE("TUPLENUM:", ROW()-2))</f>
        <v>#N/A</v>
      </c>
      <c r="V80" t="e">
        <f>RTD("streambase.rtd",,"STREAM:AppOut", "FIELD:AppCxlRplID", CONCATENATE("TUPLENUM:", ROW()-2))</f>
        <v>#N/A</v>
      </c>
      <c r="W80" t="e">
        <f>RTD("streambase.rtd",,"STREAM:AppOut", "FIELD:Symbol", CONCATENATE("TUPLENUM:", ROW()-2))</f>
        <v>#N/A</v>
      </c>
      <c r="X80" t="e">
        <f>RTD("streambase.rtd",,"STREAM:AppOut", "FIELD:OrderStatus", CONCATENATE("TUPLENUM:", ROW()-2))</f>
        <v>#N/A</v>
      </c>
      <c r="Y80" t="e">
        <f>RTD("streambase.rtd",,"STREAM:AppOut", "FIELD:BuySell", CONCATENATE("TUPLENUM:", ROW()-2))</f>
        <v>#N/A</v>
      </c>
      <c r="Z80" t="e">
        <f>RTD("streambase.rtd",,"STREAM:AppOut", "FIELD:Price", CONCATENATE("TUPLENUM:", ROW()-2))</f>
        <v>#N/A</v>
      </c>
      <c r="AA80" t="e">
        <f>RTD("streambase.rtd",,"STREAM:AppOut", "FIELD:OrderQty", CONCATENATE("TUPLENUM:", ROW()-2))</f>
        <v>#N/A</v>
      </c>
      <c r="AB80" t="e">
        <f>RTD("streambase.rtd",,"STREAM:AppOut", "FIELD:CumQty", CONCATENATE("TUPLENUM:", ROW()-2))</f>
        <v>#N/A</v>
      </c>
      <c r="AC80" t="e">
        <f>RTD("streambase.rtd",,"STREAM:AppOut", "FIELD:AvgPx", CONCATENATE("TUPLENUM:", ROW()-2))</f>
        <v>#N/A</v>
      </c>
      <c r="AD80" t="e">
        <f>RTD("streambase.rtd",,"STREAM:AppOut", "FIELD:UpdateNumber", CONCATENATE("TUPLENUM:", ROW()-2))</f>
        <v>#N/A</v>
      </c>
      <c r="AE80" s="11" t="e">
        <f>RTD("streambase.rtd",,"STREAM:AppOut", "FIELD:UpdateTime", CONCATENATE("TUPLENUM:", ROW()-2))</f>
        <v>#N/A</v>
      </c>
      <c r="AF80" t="e">
        <f>RTD("streambase.rtd",,"STREAM:AppOut", "FIELD:ReplacedbyReqID", CONCATENATE("TUPLENUM:", ROW()-2))</f>
        <v>#N/A</v>
      </c>
      <c r="AG80" t="e">
        <f>RTD("streambase.rtd",,"STREAM:AppOut", "FIELD:LeavesQty", CONCATENATE("TUPLENUM:", ROW()-2))</f>
        <v>#N/A</v>
      </c>
      <c r="AH80" t="e">
        <f>RTD("streambase.rtd",,"STREAM:AppOut", "FIELD:Account", CONCATENATE("TUPLENUM:", ROW()-2))</f>
        <v>#N/A</v>
      </c>
      <c r="AI80" t="e">
        <f>RTD("streambase.rtd",,"STREAM:AppOut", "FIELD:TradeDate", CONCATENATE("TUPLENUM:", ROW()-2))</f>
        <v>#N/A</v>
      </c>
    </row>
    <row r="81" spans="1:35">
      <c r="A81" t="str">
        <f>IF(B81="","",RTD("streambase.rtd",,"STREAM:AppOut", "FIELD:OrderStatus", "LOCALFILTER:AppOrdID==""" &amp; $B81 &amp; """"))</f>
        <v/>
      </c>
      <c r="B81" s="15" t="str">
        <f>IF(E81="","",VLOOKUP(E81,Params!O:P,2,FALSE)&amp;"_"&amp;VLOOKUP(F81,Params!R:S,2,FALSE)&amp;"_"&amp;VLOOKUP(G81,Params!U:V,2,FALSE)&amp;"_"&amp;"00"&amp;ROW()-1)</f>
        <v/>
      </c>
      <c r="C81" s="6"/>
      <c r="D81" s="6"/>
      <c r="H81" s="6"/>
      <c r="I81" s="6"/>
      <c r="L81" s="6"/>
      <c r="M81" s="6"/>
      <c r="N81" t="str">
        <f>IF(B81="","",RTD("streambase.rtd",,"STREAM:AppOut", "FIELD:CumQty", "LOCALFILTER:AppOrdID==""" &amp; $B81 &amp; """"))</f>
        <v/>
      </c>
      <c r="O81" t="str">
        <f>IF(B81="","",RTD("streambase.rtd",,"STREAM:AppOut", "FIELD:AvgPx", "LOCALFILTER:AppOrdID==""" &amp; $B81 &amp; """"))</f>
        <v/>
      </c>
      <c r="U81" t="e">
        <f>RTD("streambase.rtd",,"STREAM:AppOut", "FIELD:AppOrdID", CONCATENATE("TUPLENUM:", ROW()-2))</f>
        <v>#N/A</v>
      </c>
      <c r="V81" t="e">
        <f>RTD("streambase.rtd",,"STREAM:AppOut", "FIELD:AppCxlRplID", CONCATENATE("TUPLENUM:", ROW()-2))</f>
        <v>#N/A</v>
      </c>
      <c r="W81" t="e">
        <f>RTD("streambase.rtd",,"STREAM:AppOut", "FIELD:Symbol", CONCATENATE("TUPLENUM:", ROW()-2))</f>
        <v>#N/A</v>
      </c>
      <c r="X81" t="e">
        <f>RTD("streambase.rtd",,"STREAM:AppOut", "FIELD:OrderStatus", CONCATENATE("TUPLENUM:", ROW()-2))</f>
        <v>#N/A</v>
      </c>
      <c r="Y81" t="e">
        <f>RTD("streambase.rtd",,"STREAM:AppOut", "FIELD:BuySell", CONCATENATE("TUPLENUM:", ROW()-2))</f>
        <v>#N/A</v>
      </c>
      <c r="Z81" t="e">
        <f>RTD("streambase.rtd",,"STREAM:AppOut", "FIELD:Price", CONCATENATE("TUPLENUM:", ROW()-2))</f>
        <v>#N/A</v>
      </c>
      <c r="AA81" t="e">
        <f>RTD("streambase.rtd",,"STREAM:AppOut", "FIELD:OrderQty", CONCATENATE("TUPLENUM:", ROW()-2))</f>
        <v>#N/A</v>
      </c>
      <c r="AB81" t="e">
        <f>RTD("streambase.rtd",,"STREAM:AppOut", "FIELD:CumQty", CONCATENATE("TUPLENUM:", ROW()-2))</f>
        <v>#N/A</v>
      </c>
      <c r="AC81" t="e">
        <f>RTD("streambase.rtd",,"STREAM:AppOut", "FIELD:AvgPx", CONCATENATE("TUPLENUM:", ROW()-2))</f>
        <v>#N/A</v>
      </c>
      <c r="AD81" t="e">
        <f>RTD("streambase.rtd",,"STREAM:AppOut", "FIELD:UpdateNumber", CONCATENATE("TUPLENUM:", ROW()-2))</f>
        <v>#N/A</v>
      </c>
      <c r="AE81" s="11" t="e">
        <f>RTD("streambase.rtd",,"STREAM:AppOut", "FIELD:UpdateTime", CONCATENATE("TUPLENUM:", ROW()-2))</f>
        <v>#N/A</v>
      </c>
      <c r="AF81" t="e">
        <f>RTD("streambase.rtd",,"STREAM:AppOut", "FIELD:ReplacedbyReqID", CONCATENATE("TUPLENUM:", ROW()-2))</f>
        <v>#N/A</v>
      </c>
      <c r="AG81" t="e">
        <f>RTD("streambase.rtd",,"STREAM:AppOut", "FIELD:LeavesQty", CONCATENATE("TUPLENUM:", ROW()-2))</f>
        <v>#N/A</v>
      </c>
      <c r="AH81" t="e">
        <f>RTD("streambase.rtd",,"STREAM:AppOut", "FIELD:Account", CONCATENATE("TUPLENUM:", ROW()-2))</f>
        <v>#N/A</v>
      </c>
      <c r="AI81" t="e">
        <f>RTD("streambase.rtd",,"STREAM:AppOut", "FIELD:TradeDate", CONCATENATE("TUPLENUM:", ROW()-2))</f>
        <v>#N/A</v>
      </c>
    </row>
    <row r="82" spans="1:35">
      <c r="A82" t="str">
        <f>IF(B82="","",RTD("streambase.rtd",,"STREAM:AppOut", "FIELD:OrderStatus", "LOCALFILTER:AppOrdID==""" &amp; $B82 &amp; """"))</f>
        <v/>
      </c>
      <c r="B82" s="15" t="str">
        <f>IF(E82="","",VLOOKUP(E82,Params!O:P,2,FALSE)&amp;"_"&amp;VLOOKUP(F82,Params!R:S,2,FALSE)&amp;"_"&amp;VLOOKUP(G82,Params!U:V,2,FALSE)&amp;"_"&amp;"00"&amp;ROW()-1)</f>
        <v/>
      </c>
      <c r="C82" s="6"/>
      <c r="D82" s="6"/>
      <c r="H82" s="6"/>
      <c r="I82" s="6"/>
      <c r="L82" s="6"/>
      <c r="M82" s="6"/>
      <c r="N82" t="str">
        <f>IF(B82="","",RTD("streambase.rtd",,"STREAM:AppOut", "FIELD:CumQty", "LOCALFILTER:AppOrdID==""" &amp; $B82 &amp; """"))</f>
        <v/>
      </c>
      <c r="O82" t="str">
        <f>IF(B82="","",RTD("streambase.rtd",,"STREAM:AppOut", "FIELD:AvgPx", "LOCALFILTER:AppOrdID==""" &amp; $B82 &amp; """"))</f>
        <v/>
      </c>
      <c r="U82" t="e">
        <f>RTD("streambase.rtd",,"STREAM:AppOut", "FIELD:AppOrdID", CONCATENATE("TUPLENUM:", ROW()-2))</f>
        <v>#N/A</v>
      </c>
      <c r="V82" t="e">
        <f>RTD("streambase.rtd",,"STREAM:AppOut", "FIELD:AppCxlRplID", CONCATENATE("TUPLENUM:", ROW()-2))</f>
        <v>#N/A</v>
      </c>
      <c r="W82" t="e">
        <f>RTD("streambase.rtd",,"STREAM:AppOut", "FIELD:Symbol", CONCATENATE("TUPLENUM:", ROW()-2))</f>
        <v>#N/A</v>
      </c>
      <c r="X82" t="e">
        <f>RTD("streambase.rtd",,"STREAM:AppOut", "FIELD:OrderStatus", CONCATENATE("TUPLENUM:", ROW()-2))</f>
        <v>#N/A</v>
      </c>
      <c r="Y82" t="e">
        <f>RTD("streambase.rtd",,"STREAM:AppOut", "FIELD:BuySell", CONCATENATE("TUPLENUM:", ROW()-2))</f>
        <v>#N/A</v>
      </c>
      <c r="Z82" t="e">
        <f>RTD("streambase.rtd",,"STREAM:AppOut", "FIELD:Price", CONCATENATE("TUPLENUM:", ROW()-2))</f>
        <v>#N/A</v>
      </c>
      <c r="AA82" t="e">
        <f>RTD("streambase.rtd",,"STREAM:AppOut", "FIELD:OrderQty", CONCATENATE("TUPLENUM:", ROW()-2))</f>
        <v>#N/A</v>
      </c>
      <c r="AB82" t="e">
        <f>RTD("streambase.rtd",,"STREAM:AppOut", "FIELD:CumQty", CONCATENATE("TUPLENUM:", ROW()-2))</f>
        <v>#N/A</v>
      </c>
      <c r="AC82" t="e">
        <f>RTD("streambase.rtd",,"STREAM:AppOut", "FIELD:AvgPx", CONCATENATE("TUPLENUM:", ROW()-2))</f>
        <v>#N/A</v>
      </c>
      <c r="AD82" t="e">
        <f>RTD("streambase.rtd",,"STREAM:AppOut", "FIELD:UpdateNumber", CONCATENATE("TUPLENUM:", ROW()-2))</f>
        <v>#N/A</v>
      </c>
      <c r="AE82" s="11" t="e">
        <f>RTD("streambase.rtd",,"STREAM:AppOut", "FIELD:UpdateTime", CONCATENATE("TUPLENUM:", ROW()-2))</f>
        <v>#N/A</v>
      </c>
      <c r="AF82" t="e">
        <f>RTD("streambase.rtd",,"STREAM:AppOut", "FIELD:ReplacedbyReqID", CONCATENATE("TUPLENUM:", ROW()-2))</f>
        <v>#N/A</v>
      </c>
      <c r="AG82" t="e">
        <f>RTD("streambase.rtd",,"STREAM:AppOut", "FIELD:LeavesQty", CONCATENATE("TUPLENUM:", ROW()-2))</f>
        <v>#N/A</v>
      </c>
      <c r="AH82" t="e">
        <f>RTD("streambase.rtd",,"STREAM:AppOut", "FIELD:Account", CONCATENATE("TUPLENUM:", ROW()-2))</f>
        <v>#N/A</v>
      </c>
      <c r="AI82" t="e">
        <f>RTD("streambase.rtd",,"STREAM:AppOut", "FIELD:TradeDate", CONCATENATE("TUPLENUM:", ROW()-2))</f>
        <v>#N/A</v>
      </c>
    </row>
    <row r="83" spans="1:35">
      <c r="A83" t="str">
        <f>IF(B83="","",RTD("streambase.rtd",,"STREAM:AppOut", "FIELD:OrderStatus", "LOCALFILTER:AppOrdID==""" &amp; $B83 &amp; """"))</f>
        <v/>
      </c>
      <c r="B83" s="15" t="str">
        <f>IF(E83="","",VLOOKUP(E83,Params!O:P,2,FALSE)&amp;"_"&amp;VLOOKUP(F83,Params!R:S,2,FALSE)&amp;"_"&amp;VLOOKUP(G83,Params!U:V,2,FALSE)&amp;"_"&amp;"00"&amp;ROW()-1)</f>
        <v/>
      </c>
      <c r="C83" s="6"/>
      <c r="D83" s="6"/>
      <c r="H83" s="6"/>
      <c r="I83" s="6"/>
      <c r="L83" s="6"/>
      <c r="M83" s="6"/>
      <c r="N83" t="str">
        <f>IF(B83="","",RTD("streambase.rtd",,"STREAM:AppOut", "FIELD:CumQty", "LOCALFILTER:AppOrdID==""" &amp; $B83 &amp; """"))</f>
        <v/>
      </c>
      <c r="O83" t="str">
        <f>IF(B83="","",RTD("streambase.rtd",,"STREAM:AppOut", "FIELD:AvgPx", "LOCALFILTER:AppOrdID==""" &amp; $B83 &amp; """"))</f>
        <v/>
      </c>
      <c r="U83" t="e">
        <f>RTD("streambase.rtd",,"STREAM:AppOut", "FIELD:AppOrdID", CONCATENATE("TUPLENUM:", ROW()-2))</f>
        <v>#N/A</v>
      </c>
      <c r="V83" t="e">
        <f>RTD("streambase.rtd",,"STREAM:AppOut", "FIELD:AppCxlRplID", CONCATENATE("TUPLENUM:", ROW()-2))</f>
        <v>#N/A</v>
      </c>
      <c r="W83" t="e">
        <f>RTD("streambase.rtd",,"STREAM:AppOut", "FIELD:Symbol", CONCATENATE("TUPLENUM:", ROW()-2))</f>
        <v>#N/A</v>
      </c>
      <c r="X83" t="e">
        <f>RTD("streambase.rtd",,"STREAM:AppOut", "FIELD:OrderStatus", CONCATENATE("TUPLENUM:", ROW()-2))</f>
        <v>#N/A</v>
      </c>
      <c r="Y83" t="e">
        <f>RTD("streambase.rtd",,"STREAM:AppOut", "FIELD:BuySell", CONCATENATE("TUPLENUM:", ROW()-2))</f>
        <v>#N/A</v>
      </c>
      <c r="Z83" t="e">
        <f>RTD("streambase.rtd",,"STREAM:AppOut", "FIELD:Price", CONCATENATE("TUPLENUM:", ROW()-2))</f>
        <v>#N/A</v>
      </c>
      <c r="AA83" t="e">
        <f>RTD("streambase.rtd",,"STREAM:AppOut", "FIELD:OrderQty", CONCATENATE("TUPLENUM:", ROW()-2))</f>
        <v>#N/A</v>
      </c>
      <c r="AB83" t="e">
        <f>RTD("streambase.rtd",,"STREAM:AppOut", "FIELD:CumQty", CONCATENATE("TUPLENUM:", ROW()-2))</f>
        <v>#N/A</v>
      </c>
      <c r="AC83" t="e">
        <f>RTD("streambase.rtd",,"STREAM:AppOut", "FIELD:AvgPx", CONCATENATE("TUPLENUM:", ROW()-2))</f>
        <v>#N/A</v>
      </c>
      <c r="AD83" t="e">
        <f>RTD("streambase.rtd",,"STREAM:AppOut", "FIELD:UpdateNumber", CONCATENATE("TUPLENUM:", ROW()-2))</f>
        <v>#N/A</v>
      </c>
      <c r="AE83" s="11" t="e">
        <f>RTD("streambase.rtd",,"STREAM:AppOut", "FIELD:UpdateTime", CONCATENATE("TUPLENUM:", ROW()-2))</f>
        <v>#N/A</v>
      </c>
      <c r="AF83" t="e">
        <f>RTD("streambase.rtd",,"STREAM:AppOut", "FIELD:ReplacedbyReqID", CONCATENATE("TUPLENUM:", ROW()-2))</f>
        <v>#N/A</v>
      </c>
      <c r="AG83" t="e">
        <f>RTD("streambase.rtd",,"STREAM:AppOut", "FIELD:LeavesQty", CONCATENATE("TUPLENUM:", ROW()-2))</f>
        <v>#N/A</v>
      </c>
      <c r="AH83" t="e">
        <f>RTD("streambase.rtd",,"STREAM:AppOut", "FIELD:Account", CONCATENATE("TUPLENUM:", ROW()-2))</f>
        <v>#N/A</v>
      </c>
      <c r="AI83" t="e">
        <f>RTD("streambase.rtd",,"STREAM:AppOut", "FIELD:TradeDate", CONCATENATE("TUPLENUM:", ROW()-2))</f>
        <v>#N/A</v>
      </c>
    </row>
    <row r="84" spans="1:35">
      <c r="A84" t="str">
        <f>IF(B84="","",RTD("streambase.rtd",,"STREAM:AppOut", "FIELD:OrderStatus", "LOCALFILTER:AppOrdID==""" &amp; $B84 &amp; """"))</f>
        <v/>
      </c>
      <c r="B84" s="15" t="str">
        <f>IF(E84="","",VLOOKUP(E84,Params!O:P,2,FALSE)&amp;"_"&amp;VLOOKUP(F84,Params!R:S,2,FALSE)&amp;"_"&amp;VLOOKUP(G84,Params!U:V,2,FALSE)&amp;"_"&amp;"00"&amp;ROW()-1)</f>
        <v/>
      </c>
      <c r="C84" s="6"/>
      <c r="D84" s="6"/>
      <c r="H84" s="6"/>
      <c r="I84" s="6"/>
      <c r="L84" s="6"/>
      <c r="M84" s="6"/>
      <c r="N84" t="str">
        <f>IF(B84="","",RTD("streambase.rtd",,"STREAM:AppOut", "FIELD:CumQty", "LOCALFILTER:AppOrdID==""" &amp; $B84 &amp; """"))</f>
        <v/>
      </c>
      <c r="O84" t="str">
        <f>IF(B84="","",RTD("streambase.rtd",,"STREAM:AppOut", "FIELD:AvgPx", "LOCALFILTER:AppOrdID==""" &amp; $B84 &amp; """"))</f>
        <v/>
      </c>
      <c r="U84" t="e">
        <f>RTD("streambase.rtd",,"STREAM:AppOut", "FIELD:AppOrdID", CONCATENATE("TUPLENUM:", ROW()-2))</f>
        <v>#N/A</v>
      </c>
      <c r="V84" t="e">
        <f>RTD("streambase.rtd",,"STREAM:AppOut", "FIELD:AppCxlRplID", CONCATENATE("TUPLENUM:", ROW()-2))</f>
        <v>#N/A</v>
      </c>
      <c r="W84" t="e">
        <f>RTD("streambase.rtd",,"STREAM:AppOut", "FIELD:Symbol", CONCATENATE("TUPLENUM:", ROW()-2))</f>
        <v>#N/A</v>
      </c>
      <c r="X84" t="e">
        <f>RTD("streambase.rtd",,"STREAM:AppOut", "FIELD:OrderStatus", CONCATENATE("TUPLENUM:", ROW()-2))</f>
        <v>#N/A</v>
      </c>
      <c r="Y84" t="e">
        <f>RTD("streambase.rtd",,"STREAM:AppOut", "FIELD:BuySell", CONCATENATE("TUPLENUM:", ROW()-2))</f>
        <v>#N/A</v>
      </c>
      <c r="Z84" t="e">
        <f>RTD("streambase.rtd",,"STREAM:AppOut", "FIELD:Price", CONCATENATE("TUPLENUM:", ROW()-2))</f>
        <v>#N/A</v>
      </c>
      <c r="AA84" t="e">
        <f>RTD("streambase.rtd",,"STREAM:AppOut", "FIELD:OrderQty", CONCATENATE("TUPLENUM:", ROW()-2))</f>
        <v>#N/A</v>
      </c>
      <c r="AB84" t="e">
        <f>RTD("streambase.rtd",,"STREAM:AppOut", "FIELD:CumQty", CONCATENATE("TUPLENUM:", ROW()-2))</f>
        <v>#N/A</v>
      </c>
      <c r="AC84" t="e">
        <f>RTD("streambase.rtd",,"STREAM:AppOut", "FIELD:AvgPx", CONCATENATE("TUPLENUM:", ROW()-2))</f>
        <v>#N/A</v>
      </c>
      <c r="AD84" t="e">
        <f>RTD("streambase.rtd",,"STREAM:AppOut", "FIELD:UpdateNumber", CONCATENATE("TUPLENUM:", ROW()-2))</f>
        <v>#N/A</v>
      </c>
      <c r="AE84" s="11" t="e">
        <f>RTD("streambase.rtd",,"STREAM:AppOut", "FIELD:UpdateTime", CONCATENATE("TUPLENUM:", ROW()-2))</f>
        <v>#N/A</v>
      </c>
      <c r="AF84" t="e">
        <f>RTD("streambase.rtd",,"STREAM:AppOut", "FIELD:ReplacedbyReqID", CONCATENATE("TUPLENUM:", ROW()-2))</f>
        <v>#N/A</v>
      </c>
      <c r="AG84" t="e">
        <f>RTD("streambase.rtd",,"STREAM:AppOut", "FIELD:LeavesQty", CONCATENATE("TUPLENUM:", ROW()-2))</f>
        <v>#N/A</v>
      </c>
      <c r="AH84" t="e">
        <f>RTD("streambase.rtd",,"STREAM:AppOut", "FIELD:Account", CONCATENATE("TUPLENUM:", ROW()-2))</f>
        <v>#N/A</v>
      </c>
      <c r="AI84" t="e">
        <f>RTD("streambase.rtd",,"STREAM:AppOut", "FIELD:TradeDate", CONCATENATE("TUPLENUM:", ROW()-2))</f>
        <v>#N/A</v>
      </c>
    </row>
    <row r="85" spans="1:35">
      <c r="A85" t="str">
        <f>IF(B85="","",RTD("streambase.rtd",,"STREAM:AppOut", "FIELD:OrderStatus", "LOCALFILTER:AppOrdID==""" &amp; $B85 &amp; """"))</f>
        <v/>
      </c>
      <c r="B85" s="15" t="str">
        <f>IF(E85="","",VLOOKUP(E85,Params!O:P,2,FALSE)&amp;"_"&amp;VLOOKUP(F85,Params!R:S,2,FALSE)&amp;"_"&amp;VLOOKUP(G85,Params!U:V,2,FALSE)&amp;"_"&amp;"00"&amp;ROW()-1)</f>
        <v/>
      </c>
      <c r="C85" s="6"/>
      <c r="D85" s="6"/>
      <c r="H85" s="6"/>
      <c r="I85" s="6"/>
      <c r="L85" s="6"/>
      <c r="M85" s="6"/>
      <c r="N85" t="str">
        <f>IF(B85="","",RTD("streambase.rtd",,"STREAM:AppOut", "FIELD:CumQty", "LOCALFILTER:AppOrdID==""" &amp; $B85 &amp; """"))</f>
        <v/>
      </c>
      <c r="O85" t="str">
        <f>IF(B85="","",RTD("streambase.rtd",,"STREAM:AppOut", "FIELD:AvgPx", "LOCALFILTER:AppOrdID==""" &amp; $B85 &amp; """"))</f>
        <v/>
      </c>
      <c r="U85" t="e">
        <f>RTD("streambase.rtd",,"STREAM:AppOut", "FIELD:AppOrdID", CONCATENATE("TUPLENUM:", ROW()-2))</f>
        <v>#N/A</v>
      </c>
      <c r="V85" t="e">
        <f>RTD("streambase.rtd",,"STREAM:AppOut", "FIELD:AppCxlRplID", CONCATENATE("TUPLENUM:", ROW()-2))</f>
        <v>#N/A</v>
      </c>
      <c r="W85" t="e">
        <f>RTD("streambase.rtd",,"STREAM:AppOut", "FIELD:Symbol", CONCATENATE("TUPLENUM:", ROW()-2))</f>
        <v>#N/A</v>
      </c>
      <c r="X85" t="e">
        <f>RTD("streambase.rtd",,"STREAM:AppOut", "FIELD:OrderStatus", CONCATENATE("TUPLENUM:", ROW()-2))</f>
        <v>#N/A</v>
      </c>
      <c r="Y85" t="e">
        <f>RTD("streambase.rtd",,"STREAM:AppOut", "FIELD:BuySell", CONCATENATE("TUPLENUM:", ROW()-2))</f>
        <v>#N/A</v>
      </c>
      <c r="Z85" t="e">
        <f>RTD("streambase.rtd",,"STREAM:AppOut", "FIELD:Price", CONCATENATE("TUPLENUM:", ROW()-2))</f>
        <v>#N/A</v>
      </c>
      <c r="AA85" t="e">
        <f>RTD("streambase.rtd",,"STREAM:AppOut", "FIELD:OrderQty", CONCATENATE("TUPLENUM:", ROW()-2))</f>
        <v>#N/A</v>
      </c>
      <c r="AB85" t="e">
        <f>RTD("streambase.rtd",,"STREAM:AppOut", "FIELD:CumQty", CONCATENATE("TUPLENUM:", ROW()-2))</f>
        <v>#N/A</v>
      </c>
      <c r="AC85" t="e">
        <f>RTD("streambase.rtd",,"STREAM:AppOut", "FIELD:AvgPx", CONCATENATE("TUPLENUM:", ROW()-2))</f>
        <v>#N/A</v>
      </c>
      <c r="AD85" t="e">
        <f>RTD("streambase.rtd",,"STREAM:AppOut", "FIELD:UpdateNumber", CONCATENATE("TUPLENUM:", ROW()-2))</f>
        <v>#N/A</v>
      </c>
      <c r="AE85" s="11" t="e">
        <f>RTD("streambase.rtd",,"STREAM:AppOut", "FIELD:UpdateTime", CONCATENATE("TUPLENUM:", ROW()-2))</f>
        <v>#N/A</v>
      </c>
      <c r="AF85" t="e">
        <f>RTD("streambase.rtd",,"STREAM:AppOut", "FIELD:ReplacedbyReqID", CONCATENATE("TUPLENUM:", ROW()-2))</f>
        <v>#N/A</v>
      </c>
      <c r="AG85" t="e">
        <f>RTD("streambase.rtd",,"STREAM:AppOut", "FIELD:LeavesQty", CONCATENATE("TUPLENUM:", ROW()-2))</f>
        <v>#N/A</v>
      </c>
      <c r="AH85" t="e">
        <f>RTD("streambase.rtd",,"STREAM:AppOut", "FIELD:Account", CONCATENATE("TUPLENUM:", ROW()-2))</f>
        <v>#N/A</v>
      </c>
      <c r="AI85" t="e">
        <f>RTD("streambase.rtd",,"STREAM:AppOut", "FIELD:TradeDate", CONCATENATE("TUPLENUM:", ROW()-2))</f>
        <v>#N/A</v>
      </c>
    </row>
    <row r="86" spans="1:35">
      <c r="A86" t="str">
        <f>IF(B86="","",RTD("streambase.rtd",,"STREAM:AppOut", "FIELD:OrderStatus", "LOCALFILTER:AppOrdID==""" &amp; $B86 &amp; """"))</f>
        <v/>
      </c>
      <c r="B86" s="15" t="str">
        <f>IF(E86="","",VLOOKUP(E86,Params!O:P,2,FALSE)&amp;"_"&amp;VLOOKUP(F86,Params!R:S,2,FALSE)&amp;"_"&amp;VLOOKUP(G86,Params!U:V,2,FALSE)&amp;"_"&amp;"00"&amp;ROW()-1)</f>
        <v/>
      </c>
      <c r="C86" s="6"/>
      <c r="D86" s="6"/>
      <c r="H86" s="6"/>
      <c r="I86" s="6"/>
      <c r="L86" s="6"/>
      <c r="M86" s="6"/>
      <c r="N86" t="str">
        <f>IF(B86="","",RTD("streambase.rtd",,"STREAM:AppOut", "FIELD:CumQty", "LOCALFILTER:AppOrdID==""" &amp; $B86 &amp; """"))</f>
        <v/>
      </c>
      <c r="O86" t="str">
        <f>IF(B86="","",RTD("streambase.rtd",,"STREAM:AppOut", "FIELD:AvgPx", "LOCALFILTER:AppOrdID==""" &amp; $B86 &amp; """"))</f>
        <v/>
      </c>
      <c r="U86" t="e">
        <f>RTD("streambase.rtd",,"STREAM:AppOut", "FIELD:AppOrdID", CONCATENATE("TUPLENUM:", ROW()-2))</f>
        <v>#N/A</v>
      </c>
      <c r="V86" t="e">
        <f>RTD("streambase.rtd",,"STREAM:AppOut", "FIELD:AppCxlRplID", CONCATENATE("TUPLENUM:", ROW()-2))</f>
        <v>#N/A</v>
      </c>
      <c r="W86" t="e">
        <f>RTD("streambase.rtd",,"STREAM:AppOut", "FIELD:Symbol", CONCATENATE("TUPLENUM:", ROW()-2))</f>
        <v>#N/A</v>
      </c>
      <c r="X86" t="e">
        <f>RTD("streambase.rtd",,"STREAM:AppOut", "FIELD:OrderStatus", CONCATENATE("TUPLENUM:", ROW()-2))</f>
        <v>#N/A</v>
      </c>
      <c r="Y86" t="e">
        <f>RTD("streambase.rtd",,"STREAM:AppOut", "FIELD:BuySell", CONCATENATE("TUPLENUM:", ROW()-2))</f>
        <v>#N/A</v>
      </c>
      <c r="Z86" t="e">
        <f>RTD("streambase.rtd",,"STREAM:AppOut", "FIELD:Price", CONCATENATE("TUPLENUM:", ROW()-2))</f>
        <v>#N/A</v>
      </c>
      <c r="AA86" t="e">
        <f>RTD("streambase.rtd",,"STREAM:AppOut", "FIELD:OrderQty", CONCATENATE("TUPLENUM:", ROW()-2))</f>
        <v>#N/A</v>
      </c>
      <c r="AB86" t="e">
        <f>RTD("streambase.rtd",,"STREAM:AppOut", "FIELD:CumQty", CONCATENATE("TUPLENUM:", ROW()-2))</f>
        <v>#N/A</v>
      </c>
      <c r="AC86" t="e">
        <f>RTD("streambase.rtd",,"STREAM:AppOut", "FIELD:AvgPx", CONCATENATE("TUPLENUM:", ROW()-2))</f>
        <v>#N/A</v>
      </c>
      <c r="AD86" t="e">
        <f>RTD("streambase.rtd",,"STREAM:AppOut", "FIELD:UpdateNumber", CONCATENATE("TUPLENUM:", ROW()-2))</f>
        <v>#N/A</v>
      </c>
      <c r="AE86" s="11" t="e">
        <f>RTD("streambase.rtd",,"STREAM:AppOut", "FIELD:UpdateTime", CONCATENATE("TUPLENUM:", ROW()-2))</f>
        <v>#N/A</v>
      </c>
      <c r="AF86" t="e">
        <f>RTD("streambase.rtd",,"STREAM:AppOut", "FIELD:ReplacedbyReqID", CONCATENATE("TUPLENUM:", ROW()-2))</f>
        <v>#N/A</v>
      </c>
      <c r="AG86" t="e">
        <f>RTD("streambase.rtd",,"STREAM:AppOut", "FIELD:LeavesQty", CONCATENATE("TUPLENUM:", ROW()-2))</f>
        <v>#N/A</v>
      </c>
      <c r="AH86" t="e">
        <f>RTD("streambase.rtd",,"STREAM:AppOut", "FIELD:Account", CONCATENATE("TUPLENUM:", ROW()-2))</f>
        <v>#N/A</v>
      </c>
      <c r="AI86" t="e">
        <f>RTD("streambase.rtd",,"STREAM:AppOut", "FIELD:TradeDate", CONCATENATE("TUPLENUM:", ROW()-2))</f>
        <v>#N/A</v>
      </c>
    </row>
    <row r="87" spans="1:35">
      <c r="A87" t="str">
        <f>IF(B87="","",RTD("streambase.rtd",,"STREAM:AppOut", "FIELD:OrderStatus", "LOCALFILTER:AppOrdID==""" &amp; $B87 &amp; """"))</f>
        <v/>
      </c>
      <c r="B87" s="15" t="str">
        <f>IF(E87="","",VLOOKUP(E87,Params!O:P,2,FALSE)&amp;"_"&amp;VLOOKUP(F87,Params!R:S,2,FALSE)&amp;"_"&amp;VLOOKUP(G87,Params!U:V,2,FALSE)&amp;"_"&amp;"00"&amp;ROW()-1)</f>
        <v/>
      </c>
      <c r="C87" s="6"/>
      <c r="D87" s="6"/>
      <c r="H87" s="6"/>
      <c r="I87" s="6"/>
      <c r="L87" s="6"/>
      <c r="M87" s="6"/>
      <c r="N87" t="str">
        <f>IF(B87="","",RTD("streambase.rtd",,"STREAM:AppOut", "FIELD:CumQty", "LOCALFILTER:AppOrdID==""" &amp; $B87 &amp; """"))</f>
        <v/>
      </c>
      <c r="O87" t="str">
        <f>IF(B87="","",RTD("streambase.rtd",,"STREAM:AppOut", "FIELD:AvgPx", "LOCALFILTER:AppOrdID==""" &amp; $B87 &amp; """"))</f>
        <v/>
      </c>
      <c r="U87" t="e">
        <f>RTD("streambase.rtd",,"STREAM:AppOut", "FIELD:AppOrdID", CONCATENATE("TUPLENUM:", ROW()-2))</f>
        <v>#N/A</v>
      </c>
      <c r="V87" t="e">
        <f>RTD("streambase.rtd",,"STREAM:AppOut", "FIELD:AppCxlRplID", CONCATENATE("TUPLENUM:", ROW()-2))</f>
        <v>#N/A</v>
      </c>
      <c r="W87" t="e">
        <f>RTD("streambase.rtd",,"STREAM:AppOut", "FIELD:Symbol", CONCATENATE("TUPLENUM:", ROW()-2))</f>
        <v>#N/A</v>
      </c>
      <c r="X87" t="e">
        <f>RTD("streambase.rtd",,"STREAM:AppOut", "FIELD:OrderStatus", CONCATENATE("TUPLENUM:", ROW()-2))</f>
        <v>#N/A</v>
      </c>
      <c r="Y87" t="e">
        <f>RTD("streambase.rtd",,"STREAM:AppOut", "FIELD:BuySell", CONCATENATE("TUPLENUM:", ROW()-2))</f>
        <v>#N/A</v>
      </c>
      <c r="Z87" t="e">
        <f>RTD("streambase.rtd",,"STREAM:AppOut", "FIELD:Price", CONCATENATE("TUPLENUM:", ROW()-2))</f>
        <v>#N/A</v>
      </c>
      <c r="AA87" t="e">
        <f>RTD("streambase.rtd",,"STREAM:AppOut", "FIELD:OrderQty", CONCATENATE("TUPLENUM:", ROW()-2))</f>
        <v>#N/A</v>
      </c>
      <c r="AB87" t="e">
        <f>RTD("streambase.rtd",,"STREAM:AppOut", "FIELD:CumQty", CONCATENATE("TUPLENUM:", ROW()-2))</f>
        <v>#N/A</v>
      </c>
      <c r="AC87" t="e">
        <f>RTD("streambase.rtd",,"STREAM:AppOut", "FIELD:AvgPx", CONCATENATE("TUPLENUM:", ROW()-2))</f>
        <v>#N/A</v>
      </c>
      <c r="AD87" t="e">
        <f>RTD("streambase.rtd",,"STREAM:AppOut", "FIELD:UpdateNumber", CONCATENATE("TUPLENUM:", ROW()-2))</f>
        <v>#N/A</v>
      </c>
      <c r="AE87" s="11" t="e">
        <f>RTD("streambase.rtd",,"STREAM:AppOut", "FIELD:UpdateTime", CONCATENATE("TUPLENUM:", ROW()-2))</f>
        <v>#N/A</v>
      </c>
      <c r="AF87" t="e">
        <f>RTD("streambase.rtd",,"STREAM:AppOut", "FIELD:ReplacedbyReqID", CONCATENATE("TUPLENUM:", ROW()-2))</f>
        <v>#N/A</v>
      </c>
      <c r="AG87" t="e">
        <f>RTD("streambase.rtd",,"STREAM:AppOut", "FIELD:LeavesQty", CONCATENATE("TUPLENUM:", ROW()-2))</f>
        <v>#N/A</v>
      </c>
      <c r="AH87" t="e">
        <f>RTD("streambase.rtd",,"STREAM:AppOut", "FIELD:Account", CONCATENATE("TUPLENUM:", ROW()-2))</f>
        <v>#N/A</v>
      </c>
      <c r="AI87" t="e">
        <f>RTD("streambase.rtd",,"STREAM:AppOut", "FIELD:TradeDate", CONCATENATE("TUPLENUM:", ROW()-2))</f>
        <v>#N/A</v>
      </c>
    </row>
    <row r="88" spans="1:35">
      <c r="A88" t="str">
        <f>IF(B88="","",RTD("streambase.rtd",,"STREAM:AppOut", "FIELD:OrderStatus", "LOCALFILTER:AppOrdID==""" &amp; $B88 &amp; """"))</f>
        <v/>
      </c>
      <c r="B88" s="15" t="str">
        <f>IF(E88="","",VLOOKUP(E88,Params!O:P,2,FALSE)&amp;"_"&amp;VLOOKUP(F88,Params!R:S,2,FALSE)&amp;"_"&amp;VLOOKUP(G88,Params!U:V,2,FALSE)&amp;"_"&amp;"00"&amp;ROW()-1)</f>
        <v/>
      </c>
      <c r="C88" s="6"/>
      <c r="D88" s="6"/>
      <c r="H88" s="6"/>
      <c r="I88" s="6"/>
      <c r="L88" s="6"/>
      <c r="M88" s="6"/>
      <c r="N88" t="str">
        <f>IF(B88="","",RTD("streambase.rtd",,"STREAM:AppOut", "FIELD:CumQty", "LOCALFILTER:AppOrdID==""" &amp; $B88 &amp; """"))</f>
        <v/>
      </c>
      <c r="O88" t="str">
        <f>IF(B88="","",RTD("streambase.rtd",,"STREAM:AppOut", "FIELD:AvgPx", "LOCALFILTER:AppOrdID==""" &amp; $B88 &amp; """"))</f>
        <v/>
      </c>
      <c r="U88" t="e">
        <f>RTD("streambase.rtd",,"STREAM:AppOut", "FIELD:AppOrdID", CONCATENATE("TUPLENUM:", ROW()-2))</f>
        <v>#N/A</v>
      </c>
      <c r="V88" t="e">
        <f>RTD("streambase.rtd",,"STREAM:AppOut", "FIELD:AppCxlRplID", CONCATENATE("TUPLENUM:", ROW()-2))</f>
        <v>#N/A</v>
      </c>
      <c r="W88" t="e">
        <f>RTD("streambase.rtd",,"STREAM:AppOut", "FIELD:Symbol", CONCATENATE("TUPLENUM:", ROW()-2))</f>
        <v>#N/A</v>
      </c>
      <c r="X88" t="e">
        <f>RTD("streambase.rtd",,"STREAM:AppOut", "FIELD:OrderStatus", CONCATENATE("TUPLENUM:", ROW()-2))</f>
        <v>#N/A</v>
      </c>
      <c r="Y88" t="e">
        <f>RTD("streambase.rtd",,"STREAM:AppOut", "FIELD:BuySell", CONCATENATE("TUPLENUM:", ROW()-2))</f>
        <v>#N/A</v>
      </c>
      <c r="Z88" t="e">
        <f>RTD("streambase.rtd",,"STREAM:AppOut", "FIELD:Price", CONCATENATE("TUPLENUM:", ROW()-2))</f>
        <v>#N/A</v>
      </c>
      <c r="AA88" t="e">
        <f>RTD("streambase.rtd",,"STREAM:AppOut", "FIELD:OrderQty", CONCATENATE("TUPLENUM:", ROW()-2))</f>
        <v>#N/A</v>
      </c>
      <c r="AB88" t="e">
        <f>RTD("streambase.rtd",,"STREAM:AppOut", "FIELD:CumQty", CONCATENATE("TUPLENUM:", ROW()-2))</f>
        <v>#N/A</v>
      </c>
      <c r="AC88" t="e">
        <f>RTD("streambase.rtd",,"STREAM:AppOut", "FIELD:AvgPx", CONCATENATE("TUPLENUM:", ROW()-2))</f>
        <v>#N/A</v>
      </c>
      <c r="AD88" t="e">
        <f>RTD("streambase.rtd",,"STREAM:AppOut", "FIELD:UpdateNumber", CONCATENATE("TUPLENUM:", ROW()-2))</f>
        <v>#N/A</v>
      </c>
      <c r="AE88" s="11" t="e">
        <f>RTD("streambase.rtd",,"STREAM:AppOut", "FIELD:UpdateTime", CONCATENATE("TUPLENUM:", ROW()-2))</f>
        <v>#N/A</v>
      </c>
      <c r="AF88" t="e">
        <f>RTD("streambase.rtd",,"STREAM:AppOut", "FIELD:ReplacedbyReqID", CONCATENATE("TUPLENUM:", ROW()-2))</f>
        <v>#N/A</v>
      </c>
      <c r="AG88" t="e">
        <f>RTD("streambase.rtd",,"STREAM:AppOut", "FIELD:LeavesQty", CONCATENATE("TUPLENUM:", ROW()-2))</f>
        <v>#N/A</v>
      </c>
      <c r="AH88" t="e">
        <f>RTD("streambase.rtd",,"STREAM:AppOut", "FIELD:Account", CONCATENATE("TUPLENUM:", ROW()-2))</f>
        <v>#N/A</v>
      </c>
      <c r="AI88" t="e">
        <f>RTD("streambase.rtd",,"STREAM:AppOut", "FIELD:TradeDate", CONCATENATE("TUPLENUM:", ROW()-2))</f>
        <v>#N/A</v>
      </c>
    </row>
    <row r="89" spans="1:35">
      <c r="A89" t="str">
        <f>IF(B89="","",RTD("streambase.rtd",,"STREAM:AppOut", "FIELD:OrderStatus", "LOCALFILTER:AppOrdID==""" &amp; $B89 &amp; """"))</f>
        <v/>
      </c>
      <c r="B89" s="15" t="str">
        <f>IF(E89="","",VLOOKUP(E89,Params!O:P,2,FALSE)&amp;"_"&amp;VLOOKUP(F89,Params!R:S,2,FALSE)&amp;"_"&amp;VLOOKUP(G89,Params!U:V,2,FALSE)&amp;"_"&amp;"00"&amp;ROW()-1)</f>
        <v/>
      </c>
      <c r="C89" s="6"/>
      <c r="D89" s="6"/>
      <c r="H89" s="6"/>
      <c r="I89" s="6"/>
      <c r="L89" s="6"/>
      <c r="M89" s="6"/>
      <c r="N89" t="str">
        <f>IF(B89="","",RTD("streambase.rtd",,"STREAM:AppOut", "FIELD:CumQty", "LOCALFILTER:AppOrdID==""" &amp; $B89 &amp; """"))</f>
        <v/>
      </c>
      <c r="O89" t="str">
        <f>IF(B89="","",RTD("streambase.rtd",,"STREAM:AppOut", "FIELD:AvgPx", "LOCALFILTER:AppOrdID==""" &amp; $B89 &amp; """"))</f>
        <v/>
      </c>
      <c r="U89" t="e">
        <f>RTD("streambase.rtd",,"STREAM:AppOut", "FIELD:AppOrdID", CONCATENATE("TUPLENUM:", ROW()-2))</f>
        <v>#N/A</v>
      </c>
      <c r="V89" t="e">
        <f>RTD("streambase.rtd",,"STREAM:AppOut", "FIELD:AppCxlRplID", CONCATENATE("TUPLENUM:", ROW()-2))</f>
        <v>#N/A</v>
      </c>
      <c r="W89" t="e">
        <f>RTD("streambase.rtd",,"STREAM:AppOut", "FIELD:Symbol", CONCATENATE("TUPLENUM:", ROW()-2))</f>
        <v>#N/A</v>
      </c>
      <c r="X89" t="e">
        <f>RTD("streambase.rtd",,"STREAM:AppOut", "FIELD:OrderStatus", CONCATENATE("TUPLENUM:", ROW()-2))</f>
        <v>#N/A</v>
      </c>
      <c r="Y89" t="e">
        <f>RTD("streambase.rtd",,"STREAM:AppOut", "FIELD:BuySell", CONCATENATE("TUPLENUM:", ROW()-2))</f>
        <v>#N/A</v>
      </c>
      <c r="Z89" t="e">
        <f>RTD("streambase.rtd",,"STREAM:AppOut", "FIELD:Price", CONCATENATE("TUPLENUM:", ROW()-2))</f>
        <v>#N/A</v>
      </c>
      <c r="AA89" t="e">
        <f>RTD("streambase.rtd",,"STREAM:AppOut", "FIELD:OrderQty", CONCATENATE("TUPLENUM:", ROW()-2))</f>
        <v>#N/A</v>
      </c>
      <c r="AB89" t="e">
        <f>RTD("streambase.rtd",,"STREAM:AppOut", "FIELD:CumQty", CONCATENATE("TUPLENUM:", ROW()-2))</f>
        <v>#N/A</v>
      </c>
      <c r="AC89" t="e">
        <f>RTD("streambase.rtd",,"STREAM:AppOut", "FIELD:AvgPx", CONCATENATE("TUPLENUM:", ROW()-2))</f>
        <v>#N/A</v>
      </c>
      <c r="AD89" t="e">
        <f>RTD("streambase.rtd",,"STREAM:AppOut", "FIELD:UpdateNumber", CONCATENATE("TUPLENUM:", ROW()-2))</f>
        <v>#N/A</v>
      </c>
      <c r="AE89" s="11" t="e">
        <f>RTD("streambase.rtd",,"STREAM:AppOut", "FIELD:UpdateTime", CONCATENATE("TUPLENUM:", ROW()-2))</f>
        <v>#N/A</v>
      </c>
      <c r="AF89" t="e">
        <f>RTD("streambase.rtd",,"STREAM:AppOut", "FIELD:ReplacedbyReqID", CONCATENATE("TUPLENUM:", ROW()-2))</f>
        <v>#N/A</v>
      </c>
      <c r="AG89" t="e">
        <f>RTD("streambase.rtd",,"STREAM:AppOut", "FIELD:LeavesQty", CONCATENATE("TUPLENUM:", ROW()-2))</f>
        <v>#N/A</v>
      </c>
      <c r="AH89" t="e">
        <f>RTD("streambase.rtd",,"STREAM:AppOut", "FIELD:Account", CONCATENATE("TUPLENUM:", ROW()-2))</f>
        <v>#N/A</v>
      </c>
      <c r="AI89" t="e">
        <f>RTD("streambase.rtd",,"STREAM:AppOut", "FIELD:TradeDate", CONCATENATE("TUPLENUM:", ROW()-2))</f>
        <v>#N/A</v>
      </c>
    </row>
    <row r="90" spans="1:35">
      <c r="A90" t="str">
        <f>IF(B90="","",RTD("streambase.rtd",,"STREAM:AppOut", "FIELD:OrderStatus", "LOCALFILTER:AppOrdID==""" &amp; $B90 &amp; """"))</f>
        <v/>
      </c>
      <c r="B90" s="15" t="str">
        <f>IF(E90="","",VLOOKUP(E90,Params!O:P,2,FALSE)&amp;"_"&amp;VLOOKUP(F90,Params!R:S,2,FALSE)&amp;"_"&amp;VLOOKUP(G90,Params!U:V,2,FALSE)&amp;"_"&amp;"00"&amp;ROW()-1)</f>
        <v/>
      </c>
      <c r="C90" s="6"/>
      <c r="D90" s="6"/>
      <c r="H90" s="6"/>
      <c r="I90" s="6"/>
      <c r="L90" s="6"/>
      <c r="M90" s="6"/>
      <c r="N90" t="str">
        <f>IF(B90="","",RTD("streambase.rtd",,"STREAM:AppOut", "FIELD:CumQty", "LOCALFILTER:AppOrdID==""" &amp; $B90 &amp; """"))</f>
        <v/>
      </c>
      <c r="O90" t="str">
        <f>IF(B90="","",RTD("streambase.rtd",,"STREAM:AppOut", "FIELD:AvgPx", "LOCALFILTER:AppOrdID==""" &amp; $B90 &amp; """"))</f>
        <v/>
      </c>
      <c r="U90" t="e">
        <f>RTD("streambase.rtd",,"STREAM:AppOut", "FIELD:AppOrdID", CONCATENATE("TUPLENUM:", ROW()-2))</f>
        <v>#N/A</v>
      </c>
      <c r="V90" t="e">
        <f>RTD("streambase.rtd",,"STREAM:AppOut", "FIELD:AppCxlRplID", CONCATENATE("TUPLENUM:", ROW()-2))</f>
        <v>#N/A</v>
      </c>
      <c r="W90" t="e">
        <f>RTD("streambase.rtd",,"STREAM:AppOut", "FIELD:Symbol", CONCATENATE("TUPLENUM:", ROW()-2))</f>
        <v>#N/A</v>
      </c>
      <c r="X90" t="e">
        <f>RTD("streambase.rtd",,"STREAM:AppOut", "FIELD:OrderStatus", CONCATENATE("TUPLENUM:", ROW()-2))</f>
        <v>#N/A</v>
      </c>
      <c r="Y90" t="e">
        <f>RTD("streambase.rtd",,"STREAM:AppOut", "FIELD:BuySell", CONCATENATE("TUPLENUM:", ROW()-2))</f>
        <v>#N/A</v>
      </c>
      <c r="Z90" t="e">
        <f>RTD("streambase.rtd",,"STREAM:AppOut", "FIELD:Price", CONCATENATE("TUPLENUM:", ROW()-2))</f>
        <v>#N/A</v>
      </c>
      <c r="AA90" t="e">
        <f>RTD("streambase.rtd",,"STREAM:AppOut", "FIELD:OrderQty", CONCATENATE("TUPLENUM:", ROW()-2))</f>
        <v>#N/A</v>
      </c>
      <c r="AB90" t="e">
        <f>RTD("streambase.rtd",,"STREAM:AppOut", "FIELD:CumQty", CONCATENATE("TUPLENUM:", ROW()-2))</f>
        <v>#N/A</v>
      </c>
      <c r="AC90" t="e">
        <f>RTD("streambase.rtd",,"STREAM:AppOut", "FIELD:AvgPx", CONCATENATE("TUPLENUM:", ROW()-2))</f>
        <v>#N/A</v>
      </c>
      <c r="AD90" t="e">
        <f>RTD("streambase.rtd",,"STREAM:AppOut", "FIELD:UpdateNumber", CONCATENATE("TUPLENUM:", ROW()-2))</f>
        <v>#N/A</v>
      </c>
      <c r="AE90" s="11" t="e">
        <f>RTD("streambase.rtd",,"STREAM:AppOut", "FIELD:UpdateTime", CONCATENATE("TUPLENUM:", ROW()-2))</f>
        <v>#N/A</v>
      </c>
      <c r="AF90" t="e">
        <f>RTD("streambase.rtd",,"STREAM:AppOut", "FIELD:ReplacedbyReqID", CONCATENATE("TUPLENUM:", ROW()-2))</f>
        <v>#N/A</v>
      </c>
      <c r="AG90" t="e">
        <f>RTD("streambase.rtd",,"STREAM:AppOut", "FIELD:LeavesQty", CONCATENATE("TUPLENUM:", ROW()-2))</f>
        <v>#N/A</v>
      </c>
      <c r="AH90" t="e">
        <f>RTD("streambase.rtd",,"STREAM:AppOut", "FIELD:Account", CONCATENATE("TUPLENUM:", ROW()-2))</f>
        <v>#N/A</v>
      </c>
      <c r="AI90" t="e">
        <f>RTD("streambase.rtd",,"STREAM:AppOut", "FIELD:TradeDate", CONCATENATE("TUPLENUM:", ROW()-2))</f>
        <v>#N/A</v>
      </c>
    </row>
    <row r="91" spans="1:35">
      <c r="A91" t="str">
        <f>IF(B91="","",RTD("streambase.rtd",,"STREAM:AppOut", "FIELD:OrderStatus", "LOCALFILTER:AppOrdID==""" &amp; $B91 &amp; """"))</f>
        <v/>
      </c>
      <c r="B91" s="15" t="str">
        <f>IF(E91="","",VLOOKUP(E91,Params!O:P,2,FALSE)&amp;"_"&amp;VLOOKUP(F91,Params!R:S,2,FALSE)&amp;"_"&amp;VLOOKUP(G91,Params!U:V,2,FALSE)&amp;"_"&amp;"00"&amp;ROW()-1)</f>
        <v/>
      </c>
      <c r="C91" s="6"/>
      <c r="D91" s="6"/>
      <c r="H91" s="6"/>
      <c r="I91" s="6"/>
      <c r="L91" s="6"/>
      <c r="M91" s="6"/>
      <c r="N91" t="str">
        <f>IF(B91="","",RTD("streambase.rtd",,"STREAM:AppOut", "FIELD:CumQty", "LOCALFILTER:AppOrdID==""" &amp; $B91 &amp; """"))</f>
        <v/>
      </c>
      <c r="O91" t="str">
        <f>IF(B91="","",RTD("streambase.rtd",,"STREAM:AppOut", "FIELD:AvgPx", "LOCALFILTER:AppOrdID==""" &amp; $B91 &amp; """"))</f>
        <v/>
      </c>
      <c r="U91" t="e">
        <f>RTD("streambase.rtd",,"STREAM:AppOut", "FIELD:AppOrdID", CONCATENATE("TUPLENUM:", ROW()-2))</f>
        <v>#N/A</v>
      </c>
      <c r="V91" t="e">
        <f>RTD("streambase.rtd",,"STREAM:AppOut", "FIELD:AppCxlRplID", CONCATENATE("TUPLENUM:", ROW()-2))</f>
        <v>#N/A</v>
      </c>
      <c r="W91" t="e">
        <f>RTD("streambase.rtd",,"STREAM:AppOut", "FIELD:Symbol", CONCATENATE("TUPLENUM:", ROW()-2))</f>
        <v>#N/A</v>
      </c>
      <c r="X91" t="e">
        <f>RTD("streambase.rtd",,"STREAM:AppOut", "FIELD:OrderStatus", CONCATENATE("TUPLENUM:", ROW()-2))</f>
        <v>#N/A</v>
      </c>
      <c r="Y91" t="e">
        <f>RTD("streambase.rtd",,"STREAM:AppOut", "FIELD:BuySell", CONCATENATE("TUPLENUM:", ROW()-2))</f>
        <v>#N/A</v>
      </c>
      <c r="Z91" t="e">
        <f>RTD("streambase.rtd",,"STREAM:AppOut", "FIELD:Price", CONCATENATE("TUPLENUM:", ROW()-2))</f>
        <v>#N/A</v>
      </c>
      <c r="AA91" t="e">
        <f>RTD("streambase.rtd",,"STREAM:AppOut", "FIELD:OrderQty", CONCATENATE("TUPLENUM:", ROW()-2))</f>
        <v>#N/A</v>
      </c>
      <c r="AB91" t="e">
        <f>RTD("streambase.rtd",,"STREAM:AppOut", "FIELD:CumQty", CONCATENATE("TUPLENUM:", ROW()-2))</f>
        <v>#N/A</v>
      </c>
      <c r="AC91" t="e">
        <f>RTD("streambase.rtd",,"STREAM:AppOut", "FIELD:AvgPx", CONCATENATE("TUPLENUM:", ROW()-2))</f>
        <v>#N/A</v>
      </c>
      <c r="AD91" t="e">
        <f>RTD("streambase.rtd",,"STREAM:AppOut", "FIELD:UpdateNumber", CONCATENATE("TUPLENUM:", ROW()-2))</f>
        <v>#N/A</v>
      </c>
      <c r="AE91" s="11" t="e">
        <f>RTD("streambase.rtd",,"STREAM:AppOut", "FIELD:UpdateTime", CONCATENATE("TUPLENUM:", ROW()-2))</f>
        <v>#N/A</v>
      </c>
      <c r="AF91" t="e">
        <f>RTD("streambase.rtd",,"STREAM:AppOut", "FIELD:ReplacedbyReqID", CONCATENATE("TUPLENUM:", ROW()-2))</f>
        <v>#N/A</v>
      </c>
      <c r="AG91" t="e">
        <f>RTD("streambase.rtd",,"STREAM:AppOut", "FIELD:LeavesQty", CONCATENATE("TUPLENUM:", ROW()-2))</f>
        <v>#N/A</v>
      </c>
      <c r="AH91" t="e">
        <f>RTD("streambase.rtd",,"STREAM:AppOut", "FIELD:Account", CONCATENATE("TUPLENUM:", ROW()-2))</f>
        <v>#N/A</v>
      </c>
      <c r="AI91" t="e">
        <f>RTD("streambase.rtd",,"STREAM:AppOut", "FIELD:TradeDate", CONCATENATE("TUPLENUM:", ROW()-2))</f>
        <v>#N/A</v>
      </c>
    </row>
    <row r="92" spans="1:35">
      <c r="A92" t="str">
        <f>IF(B92="","",RTD("streambase.rtd",,"STREAM:AppOut", "FIELD:OrderStatus", "LOCALFILTER:AppOrdID==""" &amp; $B92 &amp; """"))</f>
        <v/>
      </c>
      <c r="B92" s="15" t="str">
        <f>IF(E92="","",VLOOKUP(E92,Params!O:P,2,FALSE)&amp;"_"&amp;VLOOKUP(F92,Params!R:S,2,FALSE)&amp;"_"&amp;VLOOKUP(G92,Params!U:V,2,FALSE)&amp;"_"&amp;"00"&amp;ROW()-1)</f>
        <v/>
      </c>
      <c r="C92" s="6"/>
      <c r="D92" s="6"/>
      <c r="H92" s="6"/>
      <c r="I92" s="6"/>
      <c r="L92" s="6"/>
      <c r="M92" s="6"/>
      <c r="N92" t="str">
        <f>IF(B92="","",RTD("streambase.rtd",,"STREAM:AppOut", "FIELD:CumQty", "LOCALFILTER:AppOrdID==""" &amp; $B92 &amp; """"))</f>
        <v/>
      </c>
      <c r="O92" t="str">
        <f>IF(B92="","",RTD("streambase.rtd",,"STREAM:AppOut", "FIELD:AvgPx", "LOCALFILTER:AppOrdID==""" &amp; $B92 &amp; """"))</f>
        <v/>
      </c>
      <c r="U92" t="e">
        <f>RTD("streambase.rtd",,"STREAM:AppOut", "FIELD:AppOrdID", CONCATENATE("TUPLENUM:", ROW()-2))</f>
        <v>#N/A</v>
      </c>
      <c r="V92" t="e">
        <f>RTD("streambase.rtd",,"STREAM:AppOut", "FIELD:AppCxlRplID", CONCATENATE("TUPLENUM:", ROW()-2))</f>
        <v>#N/A</v>
      </c>
      <c r="W92" t="e">
        <f>RTD("streambase.rtd",,"STREAM:AppOut", "FIELD:Symbol", CONCATENATE("TUPLENUM:", ROW()-2))</f>
        <v>#N/A</v>
      </c>
      <c r="X92" t="e">
        <f>RTD("streambase.rtd",,"STREAM:AppOut", "FIELD:OrderStatus", CONCATENATE("TUPLENUM:", ROW()-2))</f>
        <v>#N/A</v>
      </c>
      <c r="Y92" t="e">
        <f>RTD("streambase.rtd",,"STREAM:AppOut", "FIELD:BuySell", CONCATENATE("TUPLENUM:", ROW()-2))</f>
        <v>#N/A</v>
      </c>
      <c r="Z92" t="e">
        <f>RTD("streambase.rtd",,"STREAM:AppOut", "FIELD:Price", CONCATENATE("TUPLENUM:", ROW()-2))</f>
        <v>#N/A</v>
      </c>
      <c r="AA92" t="e">
        <f>RTD("streambase.rtd",,"STREAM:AppOut", "FIELD:OrderQty", CONCATENATE("TUPLENUM:", ROW()-2))</f>
        <v>#N/A</v>
      </c>
      <c r="AB92" t="e">
        <f>RTD("streambase.rtd",,"STREAM:AppOut", "FIELD:CumQty", CONCATENATE("TUPLENUM:", ROW()-2))</f>
        <v>#N/A</v>
      </c>
      <c r="AC92" t="e">
        <f>RTD("streambase.rtd",,"STREAM:AppOut", "FIELD:AvgPx", CONCATENATE("TUPLENUM:", ROW()-2))</f>
        <v>#N/A</v>
      </c>
      <c r="AD92" t="e">
        <f>RTD("streambase.rtd",,"STREAM:AppOut", "FIELD:UpdateNumber", CONCATENATE("TUPLENUM:", ROW()-2))</f>
        <v>#N/A</v>
      </c>
      <c r="AE92" s="11" t="e">
        <f>RTD("streambase.rtd",,"STREAM:AppOut", "FIELD:UpdateTime", CONCATENATE("TUPLENUM:", ROW()-2))</f>
        <v>#N/A</v>
      </c>
      <c r="AF92" t="e">
        <f>RTD("streambase.rtd",,"STREAM:AppOut", "FIELD:ReplacedbyReqID", CONCATENATE("TUPLENUM:", ROW()-2))</f>
        <v>#N/A</v>
      </c>
      <c r="AG92" t="e">
        <f>RTD("streambase.rtd",,"STREAM:AppOut", "FIELD:LeavesQty", CONCATENATE("TUPLENUM:", ROW()-2))</f>
        <v>#N/A</v>
      </c>
      <c r="AH92" t="e">
        <f>RTD("streambase.rtd",,"STREAM:AppOut", "FIELD:Account", CONCATENATE("TUPLENUM:", ROW()-2))</f>
        <v>#N/A</v>
      </c>
      <c r="AI92" t="e">
        <f>RTD("streambase.rtd",,"STREAM:AppOut", "FIELD:TradeDate", CONCATENATE("TUPLENUM:", ROW()-2))</f>
        <v>#N/A</v>
      </c>
    </row>
    <row r="93" spans="1:35">
      <c r="A93" t="str">
        <f>IF(B93="","",RTD("streambase.rtd",,"STREAM:AppOut", "FIELD:OrderStatus", "LOCALFILTER:AppOrdID==""" &amp; $B93 &amp; """"))</f>
        <v/>
      </c>
      <c r="B93" s="15" t="str">
        <f>IF(E93="","",VLOOKUP(E93,Params!O:P,2,FALSE)&amp;"_"&amp;VLOOKUP(F93,Params!R:S,2,FALSE)&amp;"_"&amp;VLOOKUP(G93,Params!U:V,2,FALSE)&amp;"_"&amp;"00"&amp;ROW()-1)</f>
        <v/>
      </c>
      <c r="C93" s="6"/>
      <c r="D93" s="6"/>
      <c r="H93" s="6"/>
      <c r="I93" s="6"/>
      <c r="L93" s="6"/>
      <c r="M93" s="6"/>
      <c r="N93" t="str">
        <f>IF(B93="","",RTD("streambase.rtd",,"STREAM:AppOut", "FIELD:CumQty", "LOCALFILTER:AppOrdID==""" &amp; $B93 &amp; """"))</f>
        <v/>
      </c>
      <c r="O93" t="str">
        <f>IF(B93="","",RTD("streambase.rtd",,"STREAM:AppOut", "FIELD:AvgPx", "LOCALFILTER:AppOrdID==""" &amp; $B93 &amp; """"))</f>
        <v/>
      </c>
      <c r="U93" t="e">
        <f>RTD("streambase.rtd",,"STREAM:AppOut", "FIELD:AppOrdID", CONCATENATE("TUPLENUM:", ROW()-2))</f>
        <v>#N/A</v>
      </c>
      <c r="V93" t="e">
        <f>RTD("streambase.rtd",,"STREAM:AppOut", "FIELD:AppCxlRplID", CONCATENATE("TUPLENUM:", ROW()-2))</f>
        <v>#N/A</v>
      </c>
      <c r="W93" t="e">
        <f>RTD("streambase.rtd",,"STREAM:AppOut", "FIELD:Symbol", CONCATENATE("TUPLENUM:", ROW()-2))</f>
        <v>#N/A</v>
      </c>
      <c r="X93" t="e">
        <f>RTD("streambase.rtd",,"STREAM:AppOut", "FIELD:OrderStatus", CONCATENATE("TUPLENUM:", ROW()-2))</f>
        <v>#N/A</v>
      </c>
      <c r="Y93" t="e">
        <f>RTD("streambase.rtd",,"STREAM:AppOut", "FIELD:BuySell", CONCATENATE("TUPLENUM:", ROW()-2))</f>
        <v>#N/A</v>
      </c>
      <c r="Z93" t="e">
        <f>RTD("streambase.rtd",,"STREAM:AppOut", "FIELD:Price", CONCATENATE("TUPLENUM:", ROW()-2))</f>
        <v>#N/A</v>
      </c>
      <c r="AA93" t="e">
        <f>RTD("streambase.rtd",,"STREAM:AppOut", "FIELD:OrderQty", CONCATENATE("TUPLENUM:", ROW()-2))</f>
        <v>#N/A</v>
      </c>
      <c r="AB93" t="e">
        <f>RTD("streambase.rtd",,"STREAM:AppOut", "FIELD:CumQty", CONCATENATE("TUPLENUM:", ROW()-2))</f>
        <v>#N/A</v>
      </c>
      <c r="AC93" t="e">
        <f>RTD("streambase.rtd",,"STREAM:AppOut", "FIELD:AvgPx", CONCATENATE("TUPLENUM:", ROW()-2))</f>
        <v>#N/A</v>
      </c>
      <c r="AD93" t="e">
        <f>RTD("streambase.rtd",,"STREAM:AppOut", "FIELD:UpdateNumber", CONCATENATE("TUPLENUM:", ROW()-2))</f>
        <v>#N/A</v>
      </c>
      <c r="AE93" s="11" t="e">
        <f>RTD("streambase.rtd",,"STREAM:AppOut", "FIELD:UpdateTime", CONCATENATE("TUPLENUM:", ROW()-2))</f>
        <v>#N/A</v>
      </c>
      <c r="AF93" t="e">
        <f>RTD("streambase.rtd",,"STREAM:AppOut", "FIELD:ReplacedbyReqID", CONCATENATE("TUPLENUM:", ROW()-2))</f>
        <v>#N/A</v>
      </c>
      <c r="AG93" t="e">
        <f>RTD("streambase.rtd",,"STREAM:AppOut", "FIELD:LeavesQty", CONCATENATE("TUPLENUM:", ROW()-2))</f>
        <v>#N/A</v>
      </c>
      <c r="AH93" t="e">
        <f>RTD("streambase.rtd",,"STREAM:AppOut", "FIELD:Account", CONCATENATE("TUPLENUM:", ROW()-2))</f>
        <v>#N/A</v>
      </c>
      <c r="AI93" t="e">
        <f>RTD("streambase.rtd",,"STREAM:AppOut", "FIELD:TradeDate", CONCATENATE("TUPLENUM:", ROW()-2))</f>
        <v>#N/A</v>
      </c>
    </row>
    <row r="94" spans="1:35">
      <c r="A94" t="str">
        <f>IF(B94="","",RTD("streambase.rtd",,"STREAM:AppOut", "FIELD:OrderStatus", "LOCALFILTER:AppOrdID==""" &amp; $B94 &amp; """"))</f>
        <v/>
      </c>
      <c r="B94" s="15" t="str">
        <f>IF(E94="","",VLOOKUP(E94,Params!O:P,2,FALSE)&amp;"_"&amp;VLOOKUP(F94,Params!R:S,2,FALSE)&amp;"_"&amp;VLOOKUP(G94,Params!U:V,2,FALSE)&amp;"_"&amp;"00"&amp;ROW()-1)</f>
        <v/>
      </c>
      <c r="C94" s="6"/>
      <c r="D94" s="6"/>
      <c r="H94" s="6"/>
      <c r="I94" s="6"/>
      <c r="L94" s="6"/>
      <c r="M94" s="6"/>
      <c r="N94" t="str">
        <f>IF(B94="","",RTD("streambase.rtd",,"STREAM:AppOut", "FIELD:CumQty", "LOCALFILTER:AppOrdID==""" &amp; $B94 &amp; """"))</f>
        <v/>
      </c>
      <c r="O94" t="str">
        <f>IF(B94="","",RTD("streambase.rtd",,"STREAM:AppOut", "FIELD:AvgPx", "LOCALFILTER:AppOrdID==""" &amp; $B94 &amp; """"))</f>
        <v/>
      </c>
      <c r="U94" t="e">
        <f>RTD("streambase.rtd",,"STREAM:AppOut", "FIELD:AppOrdID", CONCATENATE("TUPLENUM:", ROW()-2))</f>
        <v>#N/A</v>
      </c>
      <c r="V94" t="e">
        <f>RTD("streambase.rtd",,"STREAM:AppOut", "FIELD:AppCxlRplID", CONCATENATE("TUPLENUM:", ROW()-2))</f>
        <v>#N/A</v>
      </c>
      <c r="W94" t="e">
        <f>RTD("streambase.rtd",,"STREAM:AppOut", "FIELD:Symbol", CONCATENATE("TUPLENUM:", ROW()-2))</f>
        <v>#N/A</v>
      </c>
      <c r="X94" t="e">
        <f>RTD("streambase.rtd",,"STREAM:AppOut", "FIELD:OrderStatus", CONCATENATE("TUPLENUM:", ROW()-2))</f>
        <v>#N/A</v>
      </c>
      <c r="Y94" t="e">
        <f>RTD("streambase.rtd",,"STREAM:AppOut", "FIELD:BuySell", CONCATENATE("TUPLENUM:", ROW()-2))</f>
        <v>#N/A</v>
      </c>
      <c r="Z94" t="e">
        <f>RTD("streambase.rtd",,"STREAM:AppOut", "FIELD:Price", CONCATENATE("TUPLENUM:", ROW()-2))</f>
        <v>#N/A</v>
      </c>
      <c r="AA94" t="e">
        <f>RTD("streambase.rtd",,"STREAM:AppOut", "FIELD:OrderQty", CONCATENATE("TUPLENUM:", ROW()-2))</f>
        <v>#N/A</v>
      </c>
      <c r="AB94" t="e">
        <f>RTD("streambase.rtd",,"STREAM:AppOut", "FIELD:CumQty", CONCATENATE("TUPLENUM:", ROW()-2))</f>
        <v>#N/A</v>
      </c>
      <c r="AC94" t="e">
        <f>RTD("streambase.rtd",,"STREAM:AppOut", "FIELD:AvgPx", CONCATENATE("TUPLENUM:", ROW()-2))</f>
        <v>#N/A</v>
      </c>
      <c r="AD94" t="e">
        <f>RTD("streambase.rtd",,"STREAM:AppOut", "FIELD:UpdateNumber", CONCATENATE("TUPLENUM:", ROW()-2))</f>
        <v>#N/A</v>
      </c>
      <c r="AE94" s="11" t="e">
        <f>RTD("streambase.rtd",,"STREAM:AppOut", "FIELD:UpdateTime", CONCATENATE("TUPLENUM:", ROW()-2))</f>
        <v>#N/A</v>
      </c>
      <c r="AF94" t="e">
        <f>RTD("streambase.rtd",,"STREAM:AppOut", "FIELD:ReplacedbyReqID", CONCATENATE("TUPLENUM:", ROW()-2))</f>
        <v>#N/A</v>
      </c>
      <c r="AG94" t="e">
        <f>RTD("streambase.rtd",,"STREAM:AppOut", "FIELD:LeavesQty", CONCATENATE("TUPLENUM:", ROW()-2))</f>
        <v>#N/A</v>
      </c>
      <c r="AH94" t="e">
        <f>RTD("streambase.rtd",,"STREAM:AppOut", "FIELD:Account", CONCATENATE("TUPLENUM:", ROW()-2))</f>
        <v>#N/A</v>
      </c>
      <c r="AI94" t="e">
        <f>RTD("streambase.rtd",,"STREAM:AppOut", "FIELD:TradeDate", CONCATENATE("TUPLENUM:", ROW()-2))</f>
        <v>#N/A</v>
      </c>
    </row>
    <row r="95" spans="1:35">
      <c r="A95" t="str">
        <f>IF(B95="","",RTD("streambase.rtd",,"STREAM:AppOut", "FIELD:OrderStatus", "LOCALFILTER:AppOrdID==""" &amp; $B95 &amp; """"))</f>
        <v/>
      </c>
      <c r="B95" s="15" t="str">
        <f>IF(E95="","",VLOOKUP(E95,Params!O:P,2,FALSE)&amp;"_"&amp;VLOOKUP(F95,Params!R:S,2,FALSE)&amp;"_"&amp;VLOOKUP(G95,Params!U:V,2,FALSE)&amp;"_"&amp;"00"&amp;ROW()-1)</f>
        <v/>
      </c>
      <c r="C95" s="6"/>
      <c r="D95" s="6"/>
      <c r="H95" s="6"/>
      <c r="I95" s="6"/>
      <c r="L95" s="6"/>
      <c r="M95" s="6"/>
      <c r="N95" t="str">
        <f>IF(B95="","",RTD("streambase.rtd",,"STREAM:AppOut", "FIELD:CumQty", "LOCALFILTER:AppOrdID==""" &amp; $B95 &amp; """"))</f>
        <v/>
      </c>
      <c r="O95" t="str">
        <f>IF(B95="","",RTD("streambase.rtd",,"STREAM:AppOut", "FIELD:AvgPx", "LOCALFILTER:AppOrdID==""" &amp; $B95 &amp; """"))</f>
        <v/>
      </c>
      <c r="U95" t="e">
        <f>RTD("streambase.rtd",,"STREAM:AppOut", "FIELD:AppOrdID", CONCATENATE("TUPLENUM:", ROW()-2))</f>
        <v>#N/A</v>
      </c>
      <c r="V95" t="e">
        <f>RTD("streambase.rtd",,"STREAM:AppOut", "FIELD:AppCxlRplID", CONCATENATE("TUPLENUM:", ROW()-2))</f>
        <v>#N/A</v>
      </c>
      <c r="W95" t="e">
        <f>RTD("streambase.rtd",,"STREAM:AppOut", "FIELD:Symbol", CONCATENATE("TUPLENUM:", ROW()-2))</f>
        <v>#N/A</v>
      </c>
      <c r="X95" t="e">
        <f>RTD("streambase.rtd",,"STREAM:AppOut", "FIELD:OrderStatus", CONCATENATE("TUPLENUM:", ROW()-2))</f>
        <v>#N/A</v>
      </c>
      <c r="Y95" t="e">
        <f>RTD("streambase.rtd",,"STREAM:AppOut", "FIELD:BuySell", CONCATENATE("TUPLENUM:", ROW()-2))</f>
        <v>#N/A</v>
      </c>
      <c r="Z95" t="e">
        <f>RTD("streambase.rtd",,"STREAM:AppOut", "FIELD:Price", CONCATENATE("TUPLENUM:", ROW()-2))</f>
        <v>#N/A</v>
      </c>
      <c r="AA95" t="e">
        <f>RTD("streambase.rtd",,"STREAM:AppOut", "FIELD:OrderQty", CONCATENATE("TUPLENUM:", ROW()-2))</f>
        <v>#N/A</v>
      </c>
      <c r="AB95" t="e">
        <f>RTD("streambase.rtd",,"STREAM:AppOut", "FIELD:CumQty", CONCATENATE("TUPLENUM:", ROW()-2))</f>
        <v>#N/A</v>
      </c>
      <c r="AC95" t="e">
        <f>RTD("streambase.rtd",,"STREAM:AppOut", "FIELD:AvgPx", CONCATENATE("TUPLENUM:", ROW()-2))</f>
        <v>#N/A</v>
      </c>
      <c r="AD95" t="e">
        <f>RTD("streambase.rtd",,"STREAM:AppOut", "FIELD:UpdateNumber", CONCATENATE("TUPLENUM:", ROW()-2))</f>
        <v>#N/A</v>
      </c>
      <c r="AE95" s="11" t="e">
        <f>RTD("streambase.rtd",,"STREAM:AppOut", "FIELD:UpdateTime", CONCATENATE("TUPLENUM:", ROW()-2))</f>
        <v>#N/A</v>
      </c>
      <c r="AF95" t="e">
        <f>RTD("streambase.rtd",,"STREAM:AppOut", "FIELD:ReplacedbyReqID", CONCATENATE("TUPLENUM:", ROW()-2))</f>
        <v>#N/A</v>
      </c>
      <c r="AG95" t="e">
        <f>RTD("streambase.rtd",,"STREAM:AppOut", "FIELD:LeavesQty", CONCATENATE("TUPLENUM:", ROW()-2))</f>
        <v>#N/A</v>
      </c>
      <c r="AH95" t="e">
        <f>RTD("streambase.rtd",,"STREAM:AppOut", "FIELD:Account", CONCATENATE("TUPLENUM:", ROW()-2))</f>
        <v>#N/A</v>
      </c>
      <c r="AI95" t="e">
        <f>RTD("streambase.rtd",,"STREAM:AppOut", "FIELD:TradeDate", CONCATENATE("TUPLENUM:", ROW()-2))</f>
        <v>#N/A</v>
      </c>
    </row>
    <row r="96" spans="1:35">
      <c r="A96" t="str">
        <f>IF(B96="","",RTD("streambase.rtd",,"STREAM:AppOut", "FIELD:OrderStatus", "LOCALFILTER:AppOrdID==""" &amp; $B96 &amp; """"))</f>
        <v/>
      </c>
      <c r="B96" s="15" t="str">
        <f>IF(E96="","",VLOOKUP(E96,Params!O:P,2,FALSE)&amp;"_"&amp;VLOOKUP(F96,Params!R:S,2,FALSE)&amp;"_"&amp;VLOOKUP(G96,Params!U:V,2,FALSE)&amp;"_"&amp;"00"&amp;ROW()-1)</f>
        <v/>
      </c>
      <c r="C96" s="6"/>
      <c r="D96" s="6"/>
      <c r="H96" s="6"/>
      <c r="I96" s="6"/>
      <c r="L96" s="6"/>
      <c r="M96" s="6"/>
      <c r="N96" t="str">
        <f>IF(B96="","",RTD("streambase.rtd",,"STREAM:AppOut", "FIELD:CumQty", "LOCALFILTER:AppOrdID==""" &amp; $B96 &amp; """"))</f>
        <v/>
      </c>
      <c r="O96" t="str">
        <f>IF(B96="","",RTD("streambase.rtd",,"STREAM:AppOut", "FIELD:AvgPx", "LOCALFILTER:AppOrdID==""" &amp; $B96 &amp; """"))</f>
        <v/>
      </c>
      <c r="U96" t="e">
        <f>RTD("streambase.rtd",,"STREAM:AppOut", "FIELD:AppOrdID", CONCATENATE("TUPLENUM:", ROW()-2))</f>
        <v>#N/A</v>
      </c>
      <c r="V96" t="e">
        <f>RTD("streambase.rtd",,"STREAM:AppOut", "FIELD:AppCxlRplID", CONCATENATE("TUPLENUM:", ROW()-2))</f>
        <v>#N/A</v>
      </c>
      <c r="W96" t="e">
        <f>RTD("streambase.rtd",,"STREAM:AppOut", "FIELD:Symbol", CONCATENATE("TUPLENUM:", ROW()-2))</f>
        <v>#N/A</v>
      </c>
      <c r="X96" t="e">
        <f>RTD("streambase.rtd",,"STREAM:AppOut", "FIELD:OrderStatus", CONCATENATE("TUPLENUM:", ROW()-2))</f>
        <v>#N/A</v>
      </c>
      <c r="Y96" t="e">
        <f>RTD("streambase.rtd",,"STREAM:AppOut", "FIELD:BuySell", CONCATENATE("TUPLENUM:", ROW()-2))</f>
        <v>#N/A</v>
      </c>
      <c r="Z96" t="e">
        <f>RTD("streambase.rtd",,"STREAM:AppOut", "FIELD:Price", CONCATENATE("TUPLENUM:", ROW()-2))</f>
        <v>#N/A</v>
      </c>
      <c r="AA96" t="e">
        <f>RTD("streambase.rtd",,"STREAM:AppOut", "FIELD:OrderQty", CONCATENATE("TUPLENUM:", ROW()-2))</f>
        <v>#N/A</v>
      </c>
      <c r="AB96" t="e">
        <f>RTD("streambase.rtd",,"STREAM:AppOut", "FIELD:CumQty", CONCATENATE("TUPLENUM:", ROW()-2))</f>
        <v>#N/A</v>
      </c>
      <c r="AC96" t="e">
        <f>RTD("streambase.rtd",,"STREAM:AppOut", "FIELD:AvgPx", CONCATENATE("TUPLENUM:", ROW()-2))</f>
        <v>#N/A</v>
      </c>
      <c r="AD96" t="e">
        <f>RTD("streambase.rtd",,"STREAM:AppOut", "FIELD:UpdateNumber", CONCATENATE("TUPLENUM:", ROW()-2))</f>
        <v>#N/A</v>
      </c>
      <c r="AE96" s="11" t="e">
        <f>RTD("streambase.rtd",,"STREAM:AppOut", "FIELD:UpdateTime", CONCATENATE("TUPLENUM:", ROW()-2))</f>
        <v>#N/A</v>
      </c>
      <c r="AF96" t="e">
        <f>RTD("streambase.rtd",,"STREAM:AppOut", "FIELD:ReplacedbyReqID", CONCATENATE("TUPLENUM:", ROW()-2))</f>
        <v>#N/A</v>
      </c>
      <c r="AG96" t="e">
        <f>RTD("streambase.rtd",,"STREAM:AppOut", "FIELD:LeavesQty", CONCATENATE("TUPLENUM:", ROW()-2))</f>
        <v>#N/A</v>
      </c>
      <c r="AH96" t="e">
        <f>RTD("streambase.rtd",,"STREAM:AppOut", "FIELD:Account", CONCATENATE("TUPLENUM:", ROW()-2))</f>
        <v>#N/A</v>
      </c>
      <c r="AI96" t="e">
        <f>RTD("streambase.rtd",,"STREAM:AppOut", "FIELD:TradeDate", CONCATENATE("TUPLENUM:", ROW()-2))</f>
        <v>#N/A</v>
      </c>
    </row>
    <row r="97" spans="1:35">
      <c r="A97" t="str">
        <f>IF(B97="","",RTD("streambase.rtd",,"STREAM:AppOut", "FIELD:OrderStatus", "LOCALFILTER:AppOrdID==""" &amp; $B97 &amp; """"))</f>
        <v/>
      </c>
      <c r="B97" s="15" t="str">
        <f>IF(E97="","",VLOOKUP(E97,Params!O:P,2,FALSE)&amp;"_"&amp;VLOOKUP(F97,Params!R:S,2,FALSE)&amp;"_"&amp;VLOOKUP(G97,Params!U:V,2,FALSE)&amp;"_"&amp;"00"&amp;ROW()-1)</f>
        <v/>
      </c>
      <c r="C97" s="6"/>
      <c r="D97" s="6"/>
      <c r="H97" s="6"/>
      <c r="I97" s="6"/>
      <c r="L97" s="6"/>
      <c r="M97" s="6"/>
      <c r="N97" t="str">
        <f>IF(B97="","",RTD("streambase.rtd",,"STREAM:AppOut", "FIELD:CumQty", "LOCALFILTER:AppOrdID==""" &amp; $B97 &amp; """"))</f>
        <v/>
      </c>
      <c r="O97" t="str">
        <f>IF(B97="","",RTD("streambase.rtd",,"STREAM:AppOut", "FIELD:AvgPx", "LOCALFILTER:AppOrdID==""" &amp; $B97 &amp; """"))</f>
        <v/>
      </c>
      <c r="U97" t="e">
        <f>RTD("streambase.rtd",,"STREAM:AppOut", "FIELD:AppOrdID", CONCATENATE("TUPLENUM:", ROW()-2))</f>
        <v>#N/A</v>
      </c>
      <c r="V97" t="e">
        <f>RTD("streambase.rtd",,"STREAM:AppOut", "FIELD:AppCxlRplID", CONCATENATE("TUPLENUM:", ROW()-2))</f>
        <v>#N/A</v>
      </c>
      <c r="W97" t="e">
        <f>RTD("streambase.rtd",,"STREAM:AppOut", "FIELD:Symbol", CONCATENATE("TUPLENUM:", ROW()-2))</f>
        <v>#N/A</v>
      </c>
      <c r="X97" t="e">
        <f>RTD("streambase.rtd",,"STREAM:AppOut", "FIELD:OrderStatus", CONCATENATE("TUPLENUM:", ROW()-2))</f>
        <v>#N/A</v>
      </c>
      <c r="Y97" t="e">
        <f>RTD("streambase.rtd",,"STREAM:AppOut", "FIELD:BuySell", CONCATENATE("TUPLENUM:", ROW()-2))</f>
        <v>#N/A</v>
      </c>
      <c r="Z97" t="e">
        <f>RTD("streambase.rtd",,"STREAM:AppOut", "FIELD:Price", CONCATENATE("TUPLENUM:", ROW()-2))</f>
        <v>#N/A</v>
      </c>
      <c r="AA97" t="e">
        <f>RTD("streambase.rtd",,"STREAM:AppOut", "FIELD:OrderQty", CONCATENATE("TUPLENUM:", ROW()-2))</f>
        <v>#N/A</v>
      </c>
      <c r="AB97" t="e">
        <f>RTD("streambase.rtd",,"STREAM:AppOut", "FIELD:CumQty", CONCATENATE("TUPLENUM:", ROW()-2))</f>
        <v>#N/A</v>
      </c>
      <c r="AC97" t="e">
        <f>RTD("streambase.rtd",,"STREAM:AppOut", "FIELD:AvgPx", CONCATENATE("TUPLENUM:", ROW()-2))</f>
        <v>#N/A</v>
      </c>
      <c r="AD97" t="e">
        <f>RTD("streambase.rtd",,"STREAM:AppOut", "FIELD:UpdateNumber", CONCATENATE("TUPLENUM:", ROW()-2))</f>
        <v>#N/A</v>
      </c>
      <c r="AE97" s="11" t="e">
        <f>RTD("streambase.rtd",,"STREAM:AppOut", "FIELD:UpdateTime", CONCATENATE("TUPLENUM:", ROW()-2))</f>
        <v>#N/A</v>
      </c>
      <c r="AF97" t="e">
        <f>RTD("streambase.rtd",,"STREAM:AppOut", "FIELD:ReplacedbyReqID", CONCATENATE("TUPLENUM:", ROW()-2))</f>
        <v>#N/A</v>
      </c>
      <c r="AG97" t="e">
        <f>RTD("streambase.rtd",,"STREAM:AppOut", "FIELD:LeavesQty", CONCATENATE("TUPLENUM:", ROW()-2))</f>
        <v>#N/A</v>
      </c>
      <c r="AH97" t="e">
        <f>RTD("streambase.rtd",,"STREAM:AppOut", "FIELD:Account", CONCATENATE("TUPLENUM:", ROW()-2))</f>
        <v>#N/A</v>
      </c>
      <c r="AI97" t="e">
        <f>RTD("streambase.rtd",,"STREAM:AppOut", "FIELD:TradeDate", CONCATENATE("TUPLENUM:", ROW()-2))</f>
        <v>#N/A</v>
      </c>
    </row>
    <row r="98" spans="1:35">
      <c r="A98" t="str">
        <f>IF(B98="","",RTD("streambase.rtd",,"STREAM:AppOut", "FIELD:OrderStatus", "LOCALFILTER:AppOrdID==""" &amp; $B98 &amp; """"))</f>
        <v/>
      </c>
      <c r="B98" s="15" t="str">
        <f>IF(E98="","",VLOOKUP(E98,Params!O:P,2,FALSE)&amp;"_"&amp;VLOOKUP(F98,Params!R:S,2,FALSE)&amp;"_"&amp;VLOOKUP(G98,Params!U:V,2,FALSE)&amp;"_"&amp;"00"&amp;ROW()-1)</f>
        <v/>
      </c>
      <c r="C98" s="6"/>
      <c r="D98" s="6"/>
      <c r="H98" s="6"/>
      <c r="I98" s="6"/>
      <c r="L98" s="6"/>
      <c r="M98" s="6"/>
      <c r="N98" t="str">
        <f>IF(B98="","",RTD("streambase.rtd",,"STREAM:AppOut", "FIELD:CumQty", "LOCALFILTER:AppOrdID==""" &amp; $B98 &amp; """"))</f>
        <v/>
      </c>
      <c r="O98" t="str">
        <f>IF(B98="","",RTD("streambase.rtd",,"STREAM:AppOut", "FIELD:AvgPx", "LOCALFILTER:AppOrdID==""" &amp; $B98 &amp; """"))</f>
        <v/>
      </c>
      <c r="U98" t="e">
        <f>RTD("streambase.rtd",,"STREAM:AppOut", "FIELD:AppOrdID", CONCATENATE("TUPLENUM:", ROW()-2))</f>
        <v>#N/A</v>
      </c>
      <c r="V98" t="e">
        <f>RTD("streambase.rtd",,"STREAM:AppOut", "FIELD:AppCxlRplID", CONCATENATE("TUPLENUM:", ROW()-2))</f>
        <v>#N/A</v>
      </c>
      <c r="W98" t="e">
        <f>RTD("streambase.rtd",,"STREAM:AppOut", "FIELD:Symbol", CONCATENATE("TUPLENUM:", ROW()-2))</f>
        <v>#N/A</v>
      </c>
      <c r="X98" t="e">
        <f>RTD("streambase.rtd",,"STREAM:AppOut", "FIELD:OrderStatus", CONCATENATE("TUPLENUM:", ROW()-2))</f>
        <v>#N/A</v>
      </c>
      <c r="Y98" t="e">
        <f>RTD("streambase.rtd",,"STREAM:AppOut", "FIELD:BuySell", CONCATENATE("TUPLENUM:", ROW()-2))</f>
        <v>#N/A</v>
      </c>
      <c r="Z98" t="e">
        <f>RTD("streambase.rtd",,"STREAM:AppOut", "FIELD:Price", CONCATENATE("TUPLENUM:", ROW()-2))</f>
        <v>#N/A</v>
      </c>
      <c r="AA98" t="e">
        <f>RTD("streambase.rtd",,"STREAM:AppOut", "FIELD:OrderQty", CONCATENATE("TUPLENUM:", ROW()-2))</f>
        <v>#N/A</v>
      </c>
      <c r="AB98" t="e">
        <f>RTD("streambase.rtd",,"STREAM:AppOut", "FIELD:CumQty", CONCATENATE("TUPLENUM:", ROW()-2))</f>
        <v>#N/A</v>
      </c>
      <c r="AC98" t="e">
        <f>RTD("streambase.rtd",,"STREAM:AppOut", "FIELD:AvgPx", CONCATENATE("TUPLENUM:", ROW()-2))</f>
        <v>#N/A</v>
      </c>
      <c r="AD98" t="e">
        <f>RTD("streambase.rtd",,"STREAM:AppOut", "FIELD:UpdateNumber", CONCATENATE("TUPLENUM:", ROW()-2))</f>
        <v>#N/A</v>
      </c>
      <c r="AE98" s="11" t="e">
        <f>RTD("streambase.rtd",,"STREAM:AppOut", "FIELD:UpdateTime", CONCATENATE("TUPLENUM:", ROW()-2))</f>
        <v>#N/A</v>
      </c>
      <c r="AF98" t="e">
        <f>RTD("streambase.rtd",,"STREAM:AppOut", "FIELD:ReplacedbyReqID", CONCATENATE("TUPLENUM:", ROW()-2))</f>
        <v>#N/A</v>
      </c>
      <c r="AG98" t="e">
        <f>RTD("streambase.rtd",,"STREAM:AppOut", "FIELD:LeavesQty", CONCATENATE("TUPLENUM:", ROW()-2))</f>
        <v>#N/A</v>
      </c>
      <c r="AH98" t="e">
        <f>RTD("streambase.rtd",,"STREAM:AppOut", "FIELD:Account", CONCATENATE("TUPLENUM:", ROW()-2))</f>
        <v>#N/A</v>
      </c>
      <c r="AI98" t="e">
        <f>RTD("streambase.rtd",,"STREAM:AppOut", "FIELD:TradeDate", CONCATENATE("TUPLENUM:", ROW()-2))</f>
        <v>#N/A</v>
      </c>
    </row>
    <row r="99" spans="1:35">
      <c r="A99" t="str">
        <f>IF(B99="","",RTD("streambase.rtd",,"STREAM:AppOut", "FIELD:OrderStatus", "LOCALFILTER:AppOrdID==""" &amp; $B99 &amp; """"))</f>
        <v/>
      </c>
      <c r="B99" s="15" t="str">
        <f>IF(E99="","",VLOOKUP(E99,Params!O:P,2,FALSE)&amp;"_"&amp;VLOOKUP(F99,Params!R:S,2,FALSE)&amp;"_"&amp;VLOOKUP(G99,Params!U:V,2,FALSE)&amp;"_"&amp;"00"&amp;ROW()-1)</f>
        <v/>
      </c>
      <c r="C99" s="6"/>
      <c r="D99" s="6"/>
      <c r="H99" s="6"/>
      <c r="I99" s="6"/>
      <c r="L99" s="6"/>
      <c r="M99" s="6"/>
      <c r="N99" t="str">
        <f>IF(B99="","",RTD("streambase.rtd",,"STREAM:AppOut", "FIELD:CumQty", "LOCALFILTER:AppOrdID==""" &amp; $B99 &amp; """"))</f>
        <v/>
      </c>
      <c r="O99" t="str">
        <f>IF(B99="","",RTD("streambase.rtd",,"STREAM:AppOut", "FIELD:AvgPx", "LOCALFILTER:AppOrdID==""" &amp; $B99 &amp; """"))</f>
        <v/>
      </c>
      <c r="U99" t="e">
        <f>RTD("streambase.rtd",,"STREAM:AppOut", "FIELD:AppOrdID", CONCATENATE("TUPLENUM:", ROW()-2))</f>
        <v>#N/A</v>
      </c>
      <c r="V99" t="e">
        <f>RTD("streambase.rtd",,"STREAM:AppOut", "FIELD:AppCxlRplID", CONCATENATE("TUPLENUM:", ROW()-2))</f>
        <v>#N/A</v>
      </c>
      <c r="W99" t="e">
        <f>RTD("streambase.rtd",,"STREAM:AppOut", "FIELD:Symbol", CONCATENATE("TUPLENUM:", ROW()-2))</f>
        <v>#N/A</v>
      </c>
      <c r="X99" t="e">
        <f>RTD("streambase.rtd",,"STREAM:AppOut", "FIELD:OrderStatus", CONCATENATE("TUPLENUM:", ROW()-2))</f>
        <v>#N/A</v>
      </c>
      <c r="Y99" t="e">
        <f>RTD("streambase.rtd",,"STREAM:AppOut", "FIELD:BuySell", CONCATENATE("TUPLENUM:", ROW()-2))</f>
        <v>#N/A</v>
      </c>
      <c r="Z99" t="e">
        <f>RTD("streambase.rtd",,"STREAM:AppOut", "FIELD:Price", CONCATENATE("TUPLENUM:", ROW()-2))</f>
        <v>#N/A</v>
      </c>
      <c r="AA99" t="e">
        <f>RTD("streambase.rtd",,"STREAM:AppOut", "FIELD:OrderQty", CONCATENATE("TUPLENUM:", ROW()-2))</f>
        <v>#N/A</v>
      </c>
      <c r="AB99" t="e">
        <f>RTD("streambase.rtd",,"STREAM:AppOut", "FIELD:CumQty", CONCATENATE("TUPLENUM:", ROW()-2))</f>
        <v>#N/A</v>
      </c>
      <c r="AC99" t="e">
        <f>RTD("streambase.rtd",,"STREAM:AppOut", "FIELD:AvgPx", CONCATENATE("TUPLENUM:", ROW()-2))</f>
        <v>#N/A</v>
      </c>
      <c r="AD99" t="e">
        <f>RTD("streambase.rtd",,"STREAM:AppOut", "FIELD:UpdateNumber", CONCATENATE("TUPLENUM:", ROW()-2))</f>
        <v>#N/A</v>
      </c>
      <c r="AE99" s="11" t="e">
        <f>RTD("streambase.rtd",,"STREAM:AppOut", "FIELD:UpdateTime", CONCATENATE("TUPLENUM:", ROW()-2))</f>
        <v>#N/A</v>
      </c>
      <c r="AF99" t="e">
        <f>RTD("streambase.rtd",,"STREAM:AppOut", "FIELD:ReplacedbyReqID", CONCATENATE("TUPLENUM:", ROW()-2))</f>
        <v>#N/A</v>
      </c>
      <c r="AG99" t="e">
        <f>RTD("streambase.rtd",,"STREAM:AppOut", "FIELD:LeavesQty", CONCATENATE("TUPLENUM:", ROW()-2))</f>
        <v>#N/A</v>
      </c>
      <c r="AH99" t="e">
        <f>RTD("streambase.rtd",,"STREAM:AppOut", "FIELD:Account", CONCATENATE("TUPLENUM:", ROW()-2))</f>
        <v>#N/A</v>
      </c>
      <c r="AI99" t="e">
        <f>RTD("streambase.rtd",,"STREAM:AppOut", "FIELD:TradeDate", CONCATENATE("TUPLENUM:", ROW()-2))</f>
        <v>#N/A</v>
      </c>
    </row>
    <row r="100" spans="1:35">
      <c r="A100" t="str">
        <f>IF(B100="","",RTD("streambase.rtd",,"STREAM:AppOut", "FIELD:OrderStatus", "LOCALFILTER:AppOrdID==""" &amp; $B100 &amp; """"))</f>
        <v/>
      </c>
      <c r="B100" s="15" t="str">
        <f>IF(E100="","",VLOOKUP(E100,Params!O:P,2,FALSE)&amp;"_"&amp;VLOOKUP(F100,Params!R:S,2,FALSE)&amp;"_"&amp;VLOOKUP(G100,Params!U:V,2,FALSE)&amp;"_"&amp;"00"&amp;ROW()-1)</f>
        <v/>
      </c>
      <c r="C100" s="6"/>
      <c r="D100" s="6"/>
      <c r="I100" s="6"/>
      <c r="L100" s="6"/>
      <c r="M100" s="6"/>
      <c r="N100" t="str">
        <f>IF(B100="","",RTD("streambase.rtd",,"STREAM:AppOut", "FIELD:CumQty", "LOCALFILTER:AppOrdID==""" &amp; $B100 &amp; """"))</f>
        <v/>
      </c>
      <c r="O100" t="str">
        <f>IF(B100="","",RTD("streambase.rtd",,"STREAM:AppOut", "FIELD:AvgPx", "LOCALFILTER:AppOrdID==""" &amp; $B100 &amp; """"))</f>
        <v/>
      </c>
      <c r="U100" t="e">
        <f>RTD("streambase.rtd",,"STREAM:AppOut", "FIELD:AppOrdID", CONCATENATE("TUPLENUM:", ROW()-2))</f>
        <v>#N/A</v>
      </c>
      <c r="V100" t="e">
        <f>RTD("streambase.rtd",,"STREAM:AppOut", "FIELD:AppCxlRplID", CONCATENATE("TUPLENUM:", ROW()-2))</f>
        <v>#N/A</v>
      </c>
      <c r="W100" t="e">
        <f>RTD("streambase.rtd",,"STREAM:AppOut", "FIELD:Symbol", CONCATENATE("TUPLENUM:", ROW()-2))</f>
        <v>#N/A</v>
      </c>
      <c r="X100" t="e">
        <f>RTD("streambase.rtd",,"STREAM:AppOut", "FIELD:OrderStatus", CONCATENATE("TUPLENUM:", ROW()-2))</f>
        <v>#N/A</v>
      </c>
      <c r="Y100" t="e">
        <f>RTD("streambase.rtd",,"STREAM:AppOut", "FIELD:BuySell", CONCATENATE("TUPLENUM:", ROW()-2))</f>
        <v>#N/A</v>
      </c>
      <c r="Z100" t="e">
        <f>RTD("streambase.rtd",,"STREAM:AppOut", "FIELD:Price", CONCATENATE("TUPLENUM:", ROW()-2))</f>
        <v>#N/A</v>
      </c>
      <c r="AA100" t="e">
        <f>RTD("streambase.rtd",,"STREAM:AppOut", "FIELD:OrderQty", CONCATENATE("TUPLENUM:", ROW()-2))</f>
        <v>#N/A</v>
      </c>
      <c r="AB100" t="e">
        <f>RTD("streambase.rtd",,"STREAM:AppOut", "FIELD:CumQty", CONCATENATE("TUPLENUM:", ROW()-2))</f>
        <v>#N/A</v>
      </c>
      <c r="AC100" t="e">
        <f>RTD("streambase.rtd",,"STREAM:AppOut", "FIELD:AvgPx", CONCATENATE("TUPLENUM:", ROW()-2))</f>
        <v>#N/A</v>
      </c>
      <c r="AD100" t="e">
        <f>RTD("streambase.rtd",,"STREAM:AppOut", "FIELD:UpdateNumber", CONCATENATE("TUPLENUM:", ROW()-2))</f>
        <v>#N/A</v>
      </c>
      <c r="AE100" s="11" t="e">
        <f>RTD("streambase.rtd",,"STREAM:AppOut", "FIELD:UpdateTime", CONCATENATE("TUPLENUM:", ROW()-2))</f>
        <v>#N/A</v>
      </c>
      <c r="AF100" t="e">
        <f>RTD("streambase.rtd",,"STREAM:AppOut", "FIELD:ReplacedbyReqID", CONCATENATE("TUPLENUM:", ROW()-2))</f>
        <v>#N/A</v>
      </c>
      <c r="AG100" t="e">
        <f>RTD("streambase.rtd",,"STREAM:AppOut", "FIELD:LeavesQty", CONCATENATE("TUPLENUM:", ROW()-2))</f>
        <v>#N/A</v>
      </c>
      <c r="AH100" t="e">
        <f>RTD("streambase.rtd",,"STREAM:AppOut", "FIELD:Account", CONCATENATE("TUPLENUM:", ROW()-2))</f>
        <v>#N/A</v>
      </c>
      <c r="AI100" t="e">
        <f>RTD("streambase.rtd",,"STREAM:AppOut", "FIELD:TradeDate", CONCATENATE("TUPLENUM:", ROW()-2))</f>
        <v>#N/A</v>
      </c>
    </row>
    <row r="101" spans="1:35">
      <c r="A101" t="str">
        <f>IF(B101="","",RTD("streambase.rtd",,"STREAM:AppOut", "FIELD:OrderStatus", "LOCALFILTER:AppOrdID==""" &amp; $B101 &amp; """"))</f>
        <v/>
      </c>
      <c r="B101" s="15" t="str">
        <f>IF(E101="","",VLOOKUP(E101,Params!O:P,2,FALSE)&amp;"_"&amp;VLOOKUP(F101,Params!R:S,2,FALSE)&amp;"_"&amp;VLOOKUP(G101,Params!U:V,2,FALSE)&amp;"_"&amp;"00"&amp;ROW()-1)</f>
        <v/>
      </c>
      <c r="C101" s="6"/>
      <c r="D101" s="6"/>
      <c r="I101" s="6"/>
      <c r="L101" s="6"/>
      <c r="M101" s="6"/>
      <c r="N101" t="str">
        <f>IF(B101="","",RTD("streambase.rtd",,"STREAM:AppOut", "FIELD:CumQty", "LOCALFILTER:AppOrdID==""" &amp; $B101 &amp; """"))</f>
        <v/>
      </c>
      <c r="O101" t="str">
        <f>IF(B101="","",RTD("streambase.rtd",,"STREAM:AppOut", "FIELD:AvgPx", "LOCALFILTER:AppOrdID==""" &amp; $B101 &amp; """"))</f>
        <v/>
      </c>
      <c r="U101" t="e">
        <f>RTD("streambase.rtd",,"STREAM:AppOut", "FIELD:AppOrdID", CONCATENATE("TUPLENUM:", ROW()-2))</f>
        <v>#N/A</v>
      </c>
      <c r="V101" t="e">
        <f>RTD("streambase.rtd",,"STREAM:AppOut", "FIELD:AppCxlRplID", CONCATENATE("TUPLENUM:", ROW()-2))</f>
        <v>#N/A</v>
      </c>
      <c r="W101" t="e">
        <f>RTD("streambase.rtd",,"STREAM:AppOut", "FIELD:Symbol", CONCATENATE("TUPLENUM:", ROW()-2))</f>
        <v>#N/A</v>
      </c>
      <c r="X101" t="e">
        <f>RTD("streambase.rtd",,"STREAM:AppOut", "FIELD:OrderStatus", CONCATENATE("TUPLENUM:", ROW()-2))</f>
        <v>#N/A</v>
      </c>
      <c r="Y101" t="e">
        <f>RTD("streambase.rtd",,"STREAM:AppOut", "FIELD:BuySell", CONCATENATE("TUPLENUM:", ROW()-2))</f>
        <v>#N/A</v>
      </c>
      <c r="Z101" t="e">
        <f>RTD("streambase.rtd",,"STREAM:AppOut", "FIELD:Price", CONCATENATE("TUPLENUM:", ROW()-2))</f>
        <v>#N/A</v>
      </c>
      <c r="AA101" t="e">
        <f>RTD("streambase.rtd",,"STREAM:AppOut", "FIELD:OrderQty", CONCATENATE("TUPLENUM:", ROW()-2))</f>
        <v>#N/A</v>
      </c>
      <c r="AB101" t="e">
        <f>RTD("streambase.rtd",,"STREAM:AppOut", "FIELD:CumQty", CONCATENATE("TUPLENUM:", ROW()-2))</f>
        <v>#N/A</v>
      </c>
      <c r="AC101" t="e">
        <f>RTD("streambase.rtd",,"STREAM:AppOut", "FIELD:AvgPx", CONCATENATE("TUPLENUM:", ROW()-2))</f>
        <v>#N/A</v>
      </c>
      <c r="AD101" t="e">
        <f>RTD("streambase.rtd",,"STREAM:AppOut", "FIELD:UpdateNumber", CONCATENATE("TUPLENUM:", ROW()-2))</f>
        <v>#N/A</v>
      </c>
      <c r="AE101" s="11" t="e">
        <f>RTD("streambase.rtd",,"STREAM:AppOut", "FIELD:UpdateTime", CONCATENATE("TUPLENUM:", ROW()-2))</f>
        <v>#N/A</v>
      </c>
      <c r="AF101" t="e">
        <f>RTD("streambase.rtd",,"STREAM:AppOut", "FIELD:ReplacedbyReqID", CONCATENATE("TUPLENUM:", ROW()-2))</f>
        <v>#N/A</v>
      </c>
      <c r="AG101" t="e">
        <f>RTD("streambase.rtd",,"STREAM:AppOut", "FIELD:LeavesQty", CONCATENATE("TUPLENUM:", ROW()-2))</f>
        <v>#N/A</v>
      </c>
      <c r="AH101" t="e">
        <f>RTD("streambase.rtd",,"STREAM:AppOut", "FIELD:Account", CONCATENATE("TUPLENUM:", ROW()-2))</f>
        <v>#N/A</v>
      </c>
      <c r="AI101" t="e">
        <f>RTD("streambase.rtd",,"STREAM:AppOut", "FIELD:TradeDate", CONCATENATE("TUPLENUM:", ROW()-2))</f>
        <v>#N/A</v>
      </c>
    </row>
    <row r="102" spans="1:35">
      <c r="B102" s="15"/>
      <c r="C102" s="6"/>
      <c r="D102" s="6"/>
      <c r="I102" s="6"/>
      <c r="L102" s="6"/>
      <c r="M102" s="6"/>
      <c r="N102"/>
      <c r="O102"/>
      <c r="U102" t="e">
        <f>RTD("streambase.rtd",,"STREAM:AppOut", "FIELD:AppOrdID", CONCATENATE("TUPLENUM:", ROW()-2))</f>
        <v>#N/A</v>
      </c>
      <c r="V102" t="e">
        <f>RTD("streambase.rtd",,"STREAM:AppOut", "FIELD:AppCxlRplID", CONCATENATE("TUPLENUM:", ROW()-2))</f>
        <v>#N/A</v>
      </c>
      <c r="W102" t="e">
        <f>RTD("streambase.rtd",,"STREAM:AppOut", "FIELD:Symbol", CONCATENATE("TUPLENUM:", ROW()-2))</f>
        <v>#N/A</v>
      </c>
      <c r="X102" t="e">
        <f>RTD("streambase.rtd",,"STREAM:AppOut", "FIELD:OrderStatus", CONCATENATE("TUPLENUM:", ROW()-2))</f>
        <v>#N/A</v>
      </c>
      <c r="Y102" t="e">
        <f>RTD("streambase.rtd",,"STREAM:AppOut", "FIELD:BuySell", CONCATENATE("TUPLENUM:", ROW()-2))</f>
        <v>#N/A</v>
      </c>
      <c r="Z102" t="e">
        <f>RTD("streambase.rtd",,"STREAM:AppOut", "FIELD:Price", CONCATENATE("TUPLENUM:", ROW()-2))</f>
        <v>#N/A</v>
      </c>
      <c r="AA102" t="e">
        <f>RTD("streambase.rtd",,"STREAM:AppOut", "FIELD:OrderQty", CONCATENATE("TUPLENUM:", ROW()-2))</f>
        <v>#N/A</v>
      </c>
      <c r="AB102" t="e">
        <f>RTD("streambase.rtd",,"STREAM:AppOut", "FIELD:CumQty", CONCATENATE("TUPLENUM:", ROW()-2))</f>
        <v>#N/A</v>
      </c>
      <c r="AC102" t="e">
        <f>RTD("streambase.rtd",,"STREAM:AppOut", "FIELD:AvgPx", CONCATENATE("TUPLENUM:", ROW()-2))</f>
        <v>#N/A</v>
      </c>
      <c r="AD102" t="e">
        <f>RTD("streambase.rtd",,"STREAM:AppOut", "FIELD:UpdateNumber", CONCATENATE("TUPLENUM:", ROW()-2))</f>
        <v>#N/A</v>
      </c>
      <c r="AE102" s="11" t="e">
        <f>RTD("streambase.rtd",,"STREAM:AppOut", "FIELD:UpdateTime", CONCATENATE("TUPLENUM:", ROW()-2))</f>
        <v>#N/A</v>
      </c>
      <c r="AF102" t="e">
        <f>RTD("streambase.rtd",,"STREAM:AppOut", "FIELD:ReplacedbyReqID", CONCATENATE("TUPLENUM:", ROW()-2))</f>
        <v>#N/A</v>
      </c>
      <c r="AG102" t="e">
        <f>RTD("streambase.rtd",,"STREAM:AppOut", "FIELD:LeavesQty", CONCATENATE("TUPLENUM:", ROW()-2))</f>
        <v>#N/A</v>
      </c>
      <c r="AH102" t="e">
        <f>RTD("streambase.rtd",,"STREAM:AppOut", "FIELD:Account", CONCATENATE("TUPLENUM:", ROW()-2))</f>
        <v>#N/A</v>
      </c>
      <c r="AI102" t="e">
        <f>RTD("streambase.rtd",,"STREAM:AppOut", "FIELD:TradeDate", CONCATENATE("TUPLENUM:", ROW()-2))</f>
        <v>#N/A</v>
      </c>
    </row>
    <row r="103" spans="1:35">
      <c r="B103" s="15"/>
      <c r="C103" s="6"/>
      <c r="D103" s="6"/>
      <c r="I103" s="6"/>
      <c r="L103" s="6"/>
      <c r="M103" s="6"/>
      <c r="N103"/>
      <c r="O103"/>
      <c r="U103" t="e">
        <f>RTD("streambase.rtd",,"STREAM:AppOut", "FIELD:AppOrdID", CONCATENATE("TUPLENUM:", ROW()-2))</f>
        <v>#N/A</v>
      </c>
      <c r="V103" t="e">
        <f>RTD("streambase.rtd",,"STREAM:AppOut", "FIELD:AppCxlRplID", CONCATENATE("TUPLENUM:", ROW()-2))</f>
        <v>#N/A</v>
      </c>
      <c r="W103" t="e">
        <f>RTD("streambase.rtd",,"STREAM:AppOut", "FIELD:Symbol", CONCATENATE("TUPLENUM:", ROW()-2))</f>
        <v>#N/A</v>
      </c>
      <c r="X103" t="e">
        <f>RTD("streambase.rtd",,"STREAM:AppOut", "FIELD:OrderStatus", CONCATENATE("TUPLENUM:", ROW()-2))</f>
        <v>#N/A</v>
      </c>
      <c r="Y103" t="e">
        <f>RTD("streambase.rtd",,"STREAM:AppOut", "FIELD:BuySell", CONCATENATE("TUPLENUM:", ROW()-2))</f>
        <v>#N/A</v>
      </c>
      <c r="Z103" t="e">
        <f>RTD("streambase.rtd",,"STREAM:AppOut", "FIELD:Price", CONCATENATE("TUPLENUM:", ROW()-2))</f>
        <v>#N/A</v>
      </c>
      <c r="AA103" t="e">
        <f>RTD("streambase.rtd",,"STREAM:AppOut", "FIELD:OrderQty", CONCATENATE("TUPLENUM:", ROW()-2))</f>
        <v>#N/A</v>
      </c>
      <c r="AB103" t="e">
        <f>RTD("streambase.rtd",,"STREAM:AppOut", "FIELD:CumQty", CONCATENATE("TUPLENUM:", ROW()-2))</f>
        <v>#N/A</v>
      </c>
      <c r="AC103" t="e">
        <f>RTD("streambase.rtd",,"STREAM:AppOut", "FIELD:AvgPx", CONCATENATE("TUPLENUM:", ROW()-2))</f>
        <v>#N/A</v>
      </c>
      <c r="AD103" t="e">
        <f>RTD("streambase.rtd",,"STREAM:AppOut", "FIELD:UpdateNumber", CONCATENATE("TUPLENUM:", ROW()-2))</f>
        <v>#N/A</v>
      </c>
      <c r="AE103" t="e">
        <f>RTD("streambase.rtd",,"STREAM:AppOut", "FIELD:UpdateTime", CONCATENATE("TUPLENUM:", ROW()-2))</f>
        <v>#N/A</v>
      </c>
      <c r="AF103" t="e">
        <f>RTD("streambase.rtd",,"STREAM:AppOut", "FIELD:ReplacedbyReqID", CONCATENATE("TUPLENUM:", ROW()-2))</f>
        <v>#N/A</v>
      </c>
      <c r="AG103" t="e">
        <f>RTD("streambase.rtd",,"STREAM:AppOut", "FIELD:LeavesQty", CONCATENATE("TUPLENUM:", ROW()-2))</f>
        <v>#N/A</v>
      </c>
      <c r="AH103" t="e">
        <f>RTD("streambase.rtd",,"STREAM:AppOut", "FIELD:Account", CONCATENATE("TUPLENUM:", ROW()-2))</f>
        <v>#N/A</v>
      </c>
      <c r="AI103" t="e">
        <f>RTD("streambase.rtd",,"STREAM:AppOut", "FIELD:TradeDate", CONCATENATE("TUPLENUM:", ROW()-2))</f>
        <v>#N/A</v>
      </c>
    </row>
    <row r="104" spans="1:35">
      <c r="B104" s="15"/>
      <c r="C104" s="6"/>
      <c r="D104" s="6"/>
      <c r="I104" s="6"/>
      <c r="L104" s="6"/>
      <c r="M104" s="6"/>
      <c r="N104"/>
      <c r="O104"/>
      <c r="U104" t="e">
        <f>RTD("streambase.rtd",,"STREAM:AppOut", "FIELD:AppOrdID", CONCATENATE("TUPLENUM:", ROW()-2))</f>
        <v>#N/A</v>
      </c>
      <c r="V104" t="e">
        <f>RTD("streambase.rtd",,"STREAM:AppOut", "FIELD:AppCxlRplID", CONCATENATE("TUPLENUM:", ROW()-2))</f>
        <v>#N/A</v>
      </c>
      <c r="W104" t="e">
        <f>RTD("streambase.rtd",,"STREAM:AppOut", "FIELD:Symbol", CONCATENATE("TUPLENUM:", ROW()-2))</f>
        <v>#N/A</v>
      </c>
      <c r="X104" t="e">
        <f>RTD("streambase.rtd",,"STREAM:AppOut", "FIELD:OrderStatus", CONCATENATE("TUPLENUM:", ROW()-2))</f>
        <v>#N/A</v>
      </c>
      <c r="Y104" t="e">
        <f>RTD("streambase.rtd",,"STREAM:AppOut", "FIELD:BuySell", CONCATENATE("TUPLENUM:", ROW()-2))</f>
        <v>#N/A</v>
      </c>
      <c r="Z104" t="e">
        <f>RTD("streambase.rtd",,"STREAM:AppOut", "FIELD:Price", CONCATENATE("TUPLENUM:", ROW()-2))</f>
        <v>#N/A</v>
      </c>
      <c r="AA104" t="e">
        <f>RTD("streambase.rtd",,"STREAM:AppOut", "FIELD:OrderQty", CONCATENATE("TUPLENUM:", ROW()-2))</f>
        <v>#N/A</v>
      </c>
      <c r="AB104" t="e">
        <f>RTD("streambase.rtd",,"STREAM:AppOut", "FIELD:CumQty", CONCATENATE("TUPLENUM:", ROW()-2))</f>
        <v>#N/A</v>
      </c>
      <c r="AC104" t="e">
        <f>RTD("streambase.rtd",,"STREAM:AppOut", "FIELD:AvgPx", CONCATENATE("TUPLENUM:", ROW()-2))</f>
        <v>#N/A</v>
      </c>
      <c r="AD104" t="e">
        <f>RTD("streambase.rtd",,"STREAM:AppOut", "FIELD:UpdateNumber", CONCATENATE("TUPLENUM:", ROW()-2))</f>
        <v>#N/A</v>
      </c>
      <c r="AE104" t="e">
        <f>RTD("streambase.rtd",,"STREAM:AppOut", "FIELD:UpdateTime", CONCATENATE("TUPLENUM:", ROW()-2))</f>
        <v>#N/A</v>
      </c>
      <c r="AF104" t="e">
        <f>RTD("streambase.rtd",,"STREAM:AppOut", "FIELD:ReplacedbyReqID", CONCATENATE("TUPLENUM:", ROW()-2))</f>
        <v>#N/A</v>
      </c>
      <c r="AG104" t="e">
        <f>RTD("streambase.rtd",,"STREAM:AppOut", "FIELD:LeavesQty", CONCATENATE("TUPLENUM:", ROW()-2))</f>
        <v>#N/A</v>
      </c>
      <c r="AH104" t="e">
        <f>RTD("streambase.rtd",,"STREAM:AppOut", "FIELD:Account", CONCATENATE("TUPLENUM:", ROW()-2))</f>
        <v>#N/A</v>
      </c>
      <c r="AI104" t="e">
        <f>RTD("streambase.rtd",,"STREAM:AppOut", "FIELD:TradeDate", CONCATENATE("TUPLENUM:", ROW()-2))</f>
        <v>#N/A</v>
      </c>
    </row>
    <row r="105" spans="1:35">
      <c r="B105" s="15"/>
      <c r="C105" s="6"/>
      <c r="D105" s="6"/>
      <c r="I105" s="6"/>
      <c r="L105" s="6"/>
      <c r="M105" s="6"/>
      <c r="N105"/>
      <c r="O105"/>
      <c r="U105" t="e">
        <f>RTD("streambase.rtd",,"STREAM:AppOut", "FIELD:AppOrdID", CONCATENATE("TUPLENUM:", ROW()-2))</f>
        <v>#N/A</v>
      </c>
      <c r="V105" t="e">
        <f>RTD("streambase.rtd",,"STREAM:AppOut", "FIELD:AppCxlRplID", CONCATENATE("TUPLENUM:", ROW()-2))</f>
        <v>#N/A</v>
      </c>
      <c r="W105" t="e">
        <f>RTD("streambase.rtd",,"STREAM:AppOut", "FIELD:Symbol", CONCATENATE("TUPLENUM:", ROW()-2))</f>
        <v>#N/A</v>
      </c>
      <c r="X105" t="e">
        <f>RTD("streambase.rtd",,"STREAM:AppOut", "FIELD:OrderStatus", CONCATENATE("TUPLENUM:", ROW()-2))</f>
        <v>#N/A</v>
      </c>
      <c r="Y105" t="e">
        <f>RTD("streambase.rtd",,"STREAM:AppOut", "FIELD:BuySell", CONCATENATE("TUPLENUM:", ROW()-2))</f>
        <v>#N/A</v>
      </c>
      <c r="Z105" t="e">
        <f>RTD("streambase.rtd",,"STREAM:AppOut", "FIELD:Price", CONCATENATE("TUPLENUM:", ROW()-2))</f>
        <v>#N/A</v>
      </c>
      <c r="AA105" t="e">
        <f>RTD("streambase.rtd",,"STREAM:AppOut", "FIELD:OrderQty", CONCATENATE("TUPLENUM:", ROW()-2))</f>
        <v>#N/A</v>
      </c>
      <c r="AB105" t="e">
        <f>RTD("streambase.rtd",,"STREAM:AppOut", "FIELD:CumQty", CONCATENATE("TUPLENUM:", ROW()-2))</f>
        <v>#N/A</v>
      </c>
      <c r="AC105" t="e">
        <f>RTD("streambase.rtd",,"STREAM:AppOut", "FIELD:AvgPx", CONCATENATE("TUPLENUM:", ROW()-2))</f>
        <v>#N/A</v>
      </c>
      <c r="AD105" t="e">
        <f>RTD("streambase.rtd",,"STREAM:AppOut", "FIELD:UpdateNumber", CONCATENATE("TUPLENUM:", ROW()-2))</f>
        <v>#N/A</v>
      </c>
      <c r="AE105" t="e">
        <f>RTD("streambase.rtd",,"STREAM:AppOut", "FIELD:UpdateTime", CONCATENATE("TUPLENUM:", ROW()-2))</f>
        <v>#N/A</v>
      </c>
      <c r="AF105" t="e">
        <f>RTD("streambase.rtd",,"STREAM:AppOut", "FIELD:ReplacedbyReqID", CONCATENATE("TUPLENUM:", ROW()-2))</f>
        <v>#N/A</v>
      </c>
      <c r="AG105" t="e">
        <f>RTD("streambase.rtd",,"STREAM:AppOut", "FIELD:LeavesQty", CONCATENATE("TUPLENUM:", ROW()-2))</f>
        <v>#N/A</v>
      </c>
      <c r="AH105" t="e">
        <f>RTD("streambase.rtd",,"STREAM:AppOut", "FIELD:Account", CONCATENATE("TUPLENUM:", ROW()-2))</f>
        <v>#N/A</v>
      </c>
      <c r="AI105" t="e">
        <f>RTD("streambase.rtd",,"STREAM:AppOut", "FIELD:TradeDate", CONCATENATE("TUPLENUM:", ROW()-2))</f>
        <v>#N/A</v>
      </c>
    </row>
    <row r="106" spans="1:35">
      <c r="B106" s="15"/>
      <c r="C106" s="6"/>
      <c r="D106" s="6"/>
      <c r="H106" s="6"/>
      <c r="I106" s="6"/>
      <c r="L106" s="6"/>
      <c r="M106" s="6"/>
      <c r="N106"/>
      <c r="O106"/>
      <c r="U106" t="e">
        <f>RTD("streambase.rtd",,"STREAM:AppOut", "FIELD:AppOrdID", CONCATENATE("TUPLENUM:", ROW()-2))</f>
        <v>#N/A</v>
      </c>
      <c r="V106" t="e">
        <f>RTD("streambase.rtd",,"STREAM:AppOut", "FIELD:AppCxlRplID", CONCATENATE("TUPLENUM:", ROW()-2))</f>
        <v>#N/A</v>
      </c>
      <c r="W106" t="e">
        <f>RTD("streambase.rtd",,"STREAM:AppOut", "FIELD:Symbol", CONCATENATE("TUPLENUM:", ROW()-2))</f>
        <v>#N/A</v>
      </c>
      <c r="X106" t="e">
        <f>RTD("streambase.rtd",,"STREAM:AppOut", "FIELD:OrderStatus", CONCATENATE("TUPLENUM:", ROW()-2))</f>
        <v>#N/A</v>
      </c>
      <c r="Y106" t="e">
        <f>RTD("streambase.rtd",,"STREAM:AppOut", "FIELD:BuySell", CONCATENATE("TUPLENUM:", ROW()-2))</f>
        <v>#N/A</v>
      </c>
      <c r="Z106" t="e">
        <f>RTD("streambase.rtd",,"STREAM:AppOut", "FIELD:Price", CONCATENATE("TUPLENUM:", ROW()-2))</f>
        <v>#N/A</v>
      </c>
      <c r="AA106" t="e">
        <f>RTD("streambase.rtd",,"STREAM:AppOut", "FIELD:OrderQty", CONCATENATE("TUPLENUM:", ROW()-2))</f>
        <v>#N/A</v>
      </c>
      <c r="AB106" t="e">
        <f>RTD("streambase.rtd",,"STREAM:AppOut", "FIELD:CumQty", CONCATENATE("TUPLENUM:", ROW()-2))</f>
        <v>#N/A</v>
      </c>
      <c r="AC106" t="e">
        <f>RTD("streambase.rtd",,"STREAM:AppOut", "FIELD:AvgPx", CONCATENATE("TUPLENUM:", ROW()-2))</f>
        <v>#N/A</v>
      </c>
      <c r="AD106" t="e">
        <f>RTD("streambase.rtd",,"STREAM:AppOut", "FIELD:UpdateNumber", CONCATENATE("TUPLENUM:", ROW()-2))</f>
        <v>#N/A</v>
      </c>
      <c r="AE106" t="e">
        <f>RTD("streambase.rtd",,"STREAM:AppOut", "FIELD:UpdateTime", CONCATENATE("TUPLENUM:", ROW()-2))</f>
        <v>#N/A</v>
      </c>
      <c r="AF106" t="e">
        <f>RTD("streambase.rtd",,"STREAM:AppOut", "FIELD:ReplacedbyReqID", CONCATENATE("TUPLENUM:", ROW()-2))</f>
        <v>#N/A</v>
      </c>
      <c r="AG106" t="e">
        <f>RTD("streambase.rtd",,"STREAM:AppOut", "FIELD:LeavesQty", CONCATENATE("TUPLENUM:", ROW()-2))</f>
        <v>#N/A</v>
      </c>
      <c r="AH106" t="e">
        <f>RTD("streambase.rtd",,"STREAM:AppOut", "FIELD:Account", CONCATENATE("TUPLENUM:", ROW()-2))</f>
        <v>#N/A</v>
      </c>
      <c r="AI106" t="e">
        <f>RTD("streambase.rtd",,"STREAM:AppOut", "FIELD:TradeDate", CONCATENATE("TUPLENUM:", ROW()-2))</f>
        <v>#N/A</v>
      </c>
    </row>
    <row r="107" spans="1:35">
      <c r="B107" s="15"/>
      <c r="C107" s="6"/>
      <c r="D107" s="6"/>
      <c r="H107" s="6"/>
      <c r="I107" s="6"/>
      <c r="L107" s="6"/>
      <c r="M107" s="6"/>
      <c r="N107"/>
      <c r="O107"/>
      <c r="U107" t="e">
        <f>RTD("streambase.rtd",,"STREAM:AppOut", "FIELD:AppOrdID", CONCATENATE("TUPLENUM:", ROW()-2))</f>
        <v>#N/A</v>
      </c>
      <c r="V107" t="e">
        <f>RTD("streambase.rtd",,"STREAM:AppOut", "FIELD:AppCxlRplID", CONCATENATE("TUPLENUM:", ROW()-2))</f>
        <v>#N/A</v>
      </c>
      <c r="W107" t="e">
        <f>RTD("streambase.rtd",,"STREAM:AppOut", "FIELD:Symbol", CONCATENATE("TUPLENUM:", ROW()-2))</f>
        <v>#N/A</v>
      </c>
      <c r="X107" t="e">
        <f>RTD("streambase.rtd",,"STREAM:AppOut", "FIELD:OrderStatus", CONCATENATE("TUPLENUM:", ROW()-2))</f>
        <v>#N/A</v>
      </c>
      <c r="Y107" t="e">
        <f>RTD("streambase.rtd",,"STREAM:AppOut", "FIELD:BuySell", CONCATENATE("TUPLENUM:", ROW()-2))</f>
        <v>#N/A</v>
      </c>
      <c r="Z107" t="e">
        <f>RTD("streambase.rtd",,"STREAM:AppOut", "FIELD:Price", CONCATENATE("TUPLENUM:", ROW()-2))</f>
        <v>#N/A</v>
      </c>
      <c r="AA107" t="e">
        <f>RTD("streambase.rtd",,"STREAM:AppOut", "FIELD:OrderQty", CONCATENATE("TUPLENUM:", ROW()-2))</f>
        <v>#N/A</v>
      </c>
      <c r="AB107" t="e">
        <f>RTD("streambase.rtd",,"STREAM:AppOut", "FIELD:CumQty", CONCATENATE("TUPLENUM:", ROW()-2))</f>
        <v>#N/A</v>
      </c>
      <c r="AC107" t="e">
        <f>RTD("streambase.rtd",,"STREAM:AppOut", "FIELD:AvgPx", CONCATENATE("TUPLENUM:", ROW()-2))</f>
        <v>#N/A</v>
      </c>
      <c r="AD107" t="e">
        <f>RTD("streambase.rtd",,"STREAM:AppOut", "FIELD:UpdateNumber", CONCATENATE("TUPLENUM:", ROW()-2))</f>
        <v>#N/A</v>
      </c>
      <c r="AE107" t="e">
        <f>RTD("streambase.rtd",,"STREAM:AppOut", "FIELD:UpdateTime", CONCATENATE("TUPLENUM:", ROW()-2))</f>
        <v>#N/A</v>
      </c>
      <c r="AF107" t="e">
        <f>RTD("streambase.rtd",,"STREAM:AppOut", "FIELD:ReplacedbyReqID", CONCATENATE("TUPLENUM:", ROW()-2))</f>
        <v>#N/A</v>
      </c>
      <c r="AG107" t="e">
        <f>RTD("streambase.rtd",,"STREAM:AppOut", "FIELD:LeavesQty", CONCATENATE("TUPLENUM:", ROW()-2))</f>
        <v>#N/A</v>
      </c>
      <c r="AH107" t="e">
        <f>RTD("streambase.rtd",,"STREAM:AppOut", "FIELD:Account", CONCATENATE("TUPLENUM:", ROW()-2))</f>
        <v>#N/A</v>
      </c>
      <c r="AI107" t="e">
        <f>RTD("streambase.rtd",,"STREAM:AppOut", "FIELD:TradeDate", CONCATENATE("TUPLENUM:", ROW()-2))</f>
        <v>#N/A</v>
      </c>
    </row>
    <row r="108" spans="1:35">
      <c r="B108" s="15"/>
      <c r="C108" s="6"/>
      <c r="D108" s="6"/>
      <c r="H108" s="6"/>
      <c r="I108" s="6"/>
      <c r="L108" s="6"/>
      <c r="M108" s="6"/>
      <c r="N108"/>
      <c r="O108"/>
      <c r="U108" t="e">
        <f>RTD("streambase.rtd",,"STREAM:AppOut", "FIELD:AppOrdID", CONCATENATE("TUPLENUM:", ROW()-2))</f>
        <v>#N/A</v>
      </c>
      <c r="V108" t="e">
        <f>RTD("streambase.rtd",,"STREAM:AppOut", "FIELD:AppCxlRplID", CONCATENATE("TUPLENUM:", ROW()-2))</f>
        <v>#N/A</v>
      </c>
      <c r="W108" t="e">
        <f>RTD("streambase.rtd",,"STREAM:AppOut", "FIELD:Symbol", CONCATENATE("TUPLENUM:", ROW()-2))</f>
        <v>#N/A</v>
      </c>
      <c r="X108" t="e">
        <f>RTD("streambase.rtd",,"STREAM:AppOut", "FIELD:OrderStatus", CONCATENATE("TUPLENUM:", ROW()-2))</f>
        <v>#N/A</v>
      </c>
      <c r="Y108" t="e">
        <f>RTD("streambase.rtd",,"STREAM:AppOut", "FIELD:BuySell", CONCATENATE("TUPLENUM:", ROW()-2))</f>
        <v>#N/A</v>
      </c>
      <c r="Z108" t="e">
        <f>RTD("streambase.rtd",,"STREAM:AppOut", "FIELD:Price", CONCATENATE("TUPLENUM:", ROW()-2))</f>
        <v>#N/A</v>
      </c>
      <c r="AA108" t="e">
        <f>RTD("streambase.rtd",,"STREAM:AppOut", "FIELD:OrderQty", CONCATENATE("TUPLENUM:", ROW()-2))</f>
        <v>#N/A</v>
      </c>
      <c r="AB108" t="e">
        <f>RTD("streambase.rtd",,"STREAM:AppOut", "FIELD:CumQty", CONCATENATE("TUPLENUM:", ROW()-2))</f>
        <v>#N/A</v>
      </c>
      <c r="AC108" t="e">
        <f>RTD("streambase.rtd",,"STREAM:AppOut", "FIELD:AvgPx", CONCATENATE("TUPLENUM:", ROW()-2))</f>
        <v>#N/A</v>
      </c>
      <c r="AD108" t="e">
        <f>RTD("streambase.rtd",,"STREAM:AppOut", "FIELD:UpdateNumber", CONCATENATE("TUPLENUM:", ROW()-2))</f>
        <v>#N/A</v>
      </c>
      <c r="AE108" t="e">
        <f>RTD("streambase.rtd",,"STREAM:AppOut", "FIELD:UpdateTime", CONCATENATE("TUPLENUM:", ROW()-2))</f>
        <v>#N/A</v>
      </c>
      <c r="AF108" t="e">
        <f>RTD("streambase.rtd",,"STREAM:AppOut", "FIELD:ReplacedbyReqID", CONCATENATE("TUPLENUM:", ROW()-2))</f>
        <v>#N/A</v>
      </c>
      <c r="AG108" t="e">
        <f>RTD("streambase.rtd",,"STREAM:AppOut", "FIELD:LeavesQty", CONCATENATE("TUPLENUM:", ROW()-2))</f>
        <v>#N/A</v>
      </c>
      <c r="AH108" t="e">
        <f>RTD("streambase.rtd",,"STREAM:AppOut", "FIELD:Account", CONCATENATE("TUPLENUM:", ROW()-2))</f>
        <v>#N/A</v>
      </c>
      <c r="AI108" t="e">
        <f>RTD("streambase.rtd",,"STREAM:AppOut", "FIELD:TradeDate", CONCATENATE("TUPLENUM:", ROW()-2))</f>
        <v>#N/A</v>
      </c>
    </row>
    <row r="109" spans="1:35">
      <c r="B109" s="15"/>
      <c r="C109" s="6"/>
      <c r="D109" s="6"/>
      <c r="H109" s="6"/>
      <c r="I109" s="6"/>
      <c r="L109" s="6"/>
      <c r="M109" s="6"/>
      <c r="N109"/>
      <c r="O109"/>
      <c r="U109" t="e">
        <f>RTD("streambase.rtd",,"STREAM:AppOut", "FIELD:AppOrdID", CONCATENATE("TUPLENUM:", ROW()-2))</f>
        <v>#N/A</v>
      </c>
      <c r="V109" t="e">
        <f>RTD("streambase.rtd",,"STREAM:AppOut", "FIELD:AppCxlRplID", CONCATENATE("TUPLENUM:", ROW()-2))</f>
        <v>#N/A</v>
      </c>
      <c r="W109" t="e">
        <f>RTD("streambase.rtd",,"STREAM:AppOut", "FIELD:Symbol", CONCATENATE("TUPLENUM:", ROW()-2))</f>
        <v>#N/A</v>
      </c>
      <c r="X109" t="e">
        <f>RTD("streambase.rtd",,"STREAM:AppOut", "FIELD:OrderStatus", CONCATENATE("TUPLENUM:", ROW()-2))</f>
        <v>#N/A</v>
      </c>
      <c r="Y109" t="e">
        <f>RTD("streambase.rtd",,"STREAM:AppOut", "FIELD:BuySell", CONCATENATE("TUPLENUM:", ROW()-2))</f>
        <v>#N/A</v>
      </c>
      <c r="Z109" t="e">
        <f>RTD("streambase.rtd",,"STREAM:AppOut", "FIELD:Price", CONCATENATE("TUPLENUM:", ROW()-2))</f>
        <v>#N/A</v>
      </c>
      <c r="AA109" t="e">
        <f>RTD("streambase.rtd",,"STREAM:AppOut", "FIELD:OrderQty", CONCATENATE("TUPLENUM:", ROW()-2))</f>
        <v>#N/A</v>
      </c>
      <c r="AB109" t="e">
        <f>RTD("streambase.rtd",,"STREAM:AppOut", "FIELD:CumQty", CONCATENATE("TUPLENUM:", ROW()-2))</f>
        <v>#N/A</v>
      </c>
      <c r="AC109" t="e">
        <f>RTD("streambase.rtd",,"STREAM:AppOut", "FIELD:AvgPx", CONCATENATE("TUPLENUM:", ROW()-2))</f>
        <v>#N/A</v>
      </c>
      <c r="AD109" t="e">
        <f>RTD("streambase.rtd",,"STREAM:AppOut", "FIELD:UpdateNumber", CONCATENATE("TUPLENUM:", ROW()-2))</f>
        <v>#N/A</v>
      </c>
      <c r="AE109" t="e">
        <f>RTD("streambase.rtd",,"STREAM:AppOut", "FIELD:UpdateTime", CONCATENATE("TUPLENUM:", ROW()-2))</f>
        <v>#N/A</v>
      </c>
      <c r="AF109" t="e">
        <f>RTD("streambase.rtd",,"STREAM:AppOut", "FIELD:ReplacedbyReqID", CONCATENATE("TUPLENUM:", ROW()-2))</f>
        <v>#N/A</v>
      </c>
      <c r="AG109" t="e">
        <f>RTD("streambase.rtd",,"STREAM:AppOut", "FIELD:LeavesQty", CONCATENATE("TUPLENUM:", ROW()-2))</f>
        <v>#N/A</v>
      </c>
      <c r="AH109" t="e">
        <f>RTD("streambase.rtd",,"STREAM:AppOut", "FIELD:Account", CONCATENATE("TUPLENUM:", ROW()-2))</f>
        <v>#N/A</v>
      </c>
      <c r="AI109" t="e">
        <f>RTD("streambase.rtd",,"STREAM:AppOut", "FIELD:TradeDate", CONCATENATE("TUPLENUM:", ROW()-2))</f>
        <v>#N/A</v>
      </c>
    </row>
    <row r="110" spans="1:35">
      <c r="B110" s="15"/>
      <c r="C110" s="6"/>
      <c r="D110" s="6"/>
      <c r="H110" s="6"/>
      <c r="I110" s="6"/>
      <c r="L110" s="6"/>
      <c r="M110" s="6"/>
      <c r="N110"/>
      <c r="O110"/>
      <c r="U110" t="e">
        <f>RTD("streambase.rtd",,"STREAM:AppOut", "FIELD:AppOrdID", CONCATENATE("TUPLENUM:", ROW()-2))</f>
        <v>#N/A</v>
      </c>
      <c r="V110" t="e">
        <f>RTD("streambase.rtd",,"STREAM:AppOut", "FIELD:AppCxlRplID", CONCATENATE("TUPLENUM:", ROW()-2))</f>
        <v>#N/A</v>
      </c>
      <c r="W110" t="e">
        <f>RTD("streambase.rtd",,"STREAM:AppOut", "FIELD:Symbol", CONCATENATE("TUPLENUM:", ROW()-2))</f>
        <v>#N/A</v>
      </c>
      <c r="X110" t="e">
        <f>RTD("streambase.rtd",,"STREAM:AppOut", "FIELD:OrderStatus", CONCATENATE("TUPLENUM:", ROW()-2))</f>
        <v>#N/A</v>
      </c>
      <c r="Y110" t="e">
        <f>RTD("streambase.rtd",,"STREAM:AppOut", "FIELD:BuySell", CONCATENATE("TUPLENUM:", ROW()-2))</f>
        <v>#N/A</v>
      </c>
      <c r="Z110" t="e">
        <f>RTD("streambase.rtd",,"STREAM:AppOut", "FIELD:Price", CONCATENATE("TUPLENUM:", ROW()-2))</f>
        <v>#N/A</v>
      </c>
      <c r="AA110" t="e">
        <f>RTD("streambase.rtd",,"STREAM:AppOut", "FIELD:OrderQty", CONCATENATE("TUPLENUM:", ROW()-2))</f>
        <v>#N/A</v>
      </c>
      <c r="AB110" t="e">
        <f>RTD("streambase.rtd",,"STREAM:AppOut", "FIELD:CumQty", CONCATENATE("TUPLENUM:", ROW()-2))</f>
        <v>#N/A</v>
      </c>
      <c r="AC110" t="e">
        <f>RTD("streambase.rtd",,"STREAM:AppOut", "FIELD:AvgPx", CONCATENATE("TUPLENUM:", ROW()-2))</f>
        <v>#N/A</v>
      </c>
      <c r="AD110" t="e">
        <f>RTD("streambase.rtd",,"STREAM:AppOut", "FIELD:UpdateNumber", CONCATENATE("TUPLENUM:", ROW()-2))</f>
        <v>#N/A</v>
      </c>
      <c r="AE110" t="e">
        <f>RTD("streambase.rtd",,"STREAM:AppOut", "FIELD:UpdateTime", CONCATENATE("TUPLENUM:", ROW()-2))</f>
        <v>#N/A</v>
      </c>
      <c r="AF110" t="e">
        <f>RTD("streambase.rtd",,"STREAM:AppOut", "FIELD:ReplacedbyReqID", CONCATENATE("TUPLENUM:", ROW()-2))</f>
        <v>#N/A</v>
      </c>
      <c r="AG110" t="e">
        <f>RTD("streambase.rtd",,"STREAM:AppOut", "FIELD:LeavesQty", CONCATENATE("TUPLENUM:", ROW()-2))</f>
        <v>#N/A</v>
      </c>
      <c r="AH110" t="e">
        <f>RTD("streambase.rtd",,"STREAM:AppOut", "FIELD:Account", CONCATENATE("TUPLENUM:", ROW()-2))</f>
        <v>#N/A</v>
      </c>
      <c r="AI110" t="e">
        <f>RTD("streambase.rtd",,"STREAM:AppOut", "FIELD:TradeDate", CONCATENATE("TUPLENUM:", ROW()-2))</f>
        <v>#N/A</v>
      </c>
    </row>
    <row r="111" spans="1:35">
      <c r="B111" s="15"/>
      <c r="C111" s="6"/>
      <c r="D111" s="6"/>
      <c r="H111" s="6"/>
      <c r="I111" s="6"/>
      <c r="L111" s="6"/>
      <c r="M111" s="6"/>
      <c r="N111"/>
      <c r="O111"/>
      <c r="U111" t="e">
        <f>RTD("streambase.rtd",,"STREAM:AppOut", "FIELD:AppOrdID", CONCATENATE("TUPLENUM:", ROW()-2))</f>
        <v>#N/A</v>
      </c>
      <c r="V111" t="e">
        <f>RTD("streambase.rtd",,"STREAM:AppOut", "FIELD:AppCxlRplID", CONCATENATE("TUPLENUM:", ROW()-2))</f>
        <v>#N/A</v>
      </c>
      <c r="W111" t="e">
        <f>RTD("streambase.rtd",,"STREAM:AppOut", "FIELD:Symbol", CONCATENATE("TUPLENUM:", ROW()-2))</f>
        <v>#N/A</v>
      </c>
      <c r="X111" t="e">
        <f>RTD("streambase.rtd",,"STREAM:AppOut", "FIELD:OrderStatus", CONCATENATE("TUPLENUM:", ROW()-2))</f>
        <v>#N/A</v>
      </c>
      <c r="Y111" t="e">
        <f>RTD("streambase.rtd",,"STREAM:AppOut", "FIELD:BuySell", CONCATENATE("TUPLENUM:", ROW()-2))</f>
        <v>#N/A</v>
      </c>
      <c r="Z111" t="e">
        <f>RTD("streambase.rtd",,"STREAM:AppOut", "FIELD:Price", CONCATENATE("TUPLENUM:", ROW()-2))</f>
        <v>#N/A</v>
      </c>
      <c r="AA111" t="e">
        <f>RTD("streambase.rtd",,"STREAM:AppOut", "FIELD:OrderQty", CONCATENATE("TUPLENUM:", ROW()-2))</f>
        <v>#N/A</v>
      </c>
      <c r="AB111" t="e">
        <f>RTD("streambase.rtd",,"STREAM:AppOut", "FIELD:CumQty", CONCATENATE("TUPLENUM:", ROW()-2))</f>
        <v>#N/A</v>
      </c>
      <c r="AC111" t="e">
        <f>RTD("streambase.rtd",,"STREAM:AppOut", "FIELD:AvgPx", CONCATENATE("TUPLENUM:", ROW()-2))</f>
        <v>#N/A</v>
      </c>
      <c r="AD111" t="e">
        <f>RTD("streambase.rtd",,"STREAM:AppOut", "FIELD:UpdateNumber", CONCATENATE("TUPLENUM:", ROW()-2))</f>
        <v>#N/A</v>
      </c>
      <c r="AE111" t="e">
        <f>RTD("streambase.rtd",,"STREAM:AppOut", "FIELD:UpdateTime", CONCATENATE("TUPLENUM:", ROW()-2))</f>
        <v>#N/A</v>
      </c>
      <c r="AF111" t="e">
        <f>RTD("streambase.rtd",,"STREAM:AppOut", "FIELD:ReplacedbyReqID", CONCATENATE("TUPLENUM:", ROW()-2))</f>
        <v>#N/A</v>
      </c>
      <c r="AG111" t="e">
        <f>RTD("streambase.rtd",,"STREAM:AppOut", "FIELD:LeavesQty", CONCATENATE("TUPLENUM:", ROW()-2))</f>
        <v>#N/A</v>
      </c>
      <c r="AH111" t="e">
        <f>RTD("streambase.rtd",,"STREAM:AppOut", "FIELD:Account", CONCATENATE("TUPLENUM:", ROW()-2))</f>
        <v>#N/A</v>
      </c>
      <c r="AI111" t="e">
        <f>RTD("streambase.rtd",,"STREAM:AppOut", "FIELD:TradeDate", CONCATENATE("TUPLENUM:", ROW()-2))</f>
        <v>#N/A</v>
      </c>
    </row>
    <row r="112" spans="1:35">
      <c r="B112" s="15"/>
      <c r="C112" s="6"/>
      <c r="D112" s="6"/>
      <c r="H112" s="6"/>
      <c r="I112" s="6"/>
      <c r="L112" s="6"/>
      <c r="M112" s="6"/>
      <c r="N112"/>
      <c r="O112"/>
      <c r="U112" t="e">
        <f>RTD("streambase.rtd",,"STREAM:AppOut", "FIELD:AppOrdID", CONCATENATE("TUPLENUM:", ROW()-2))</f>
        <v>#N/A</v>
      </c>
      <c r="V112" t="e">
        <f>RTD("streambase.rtd",,"STREAM:AppOut", "FIELD:AppCxlRplID", CONCATENATE("TUPLENUM:", ROW()-2))</f>
        <v>#N/A</v>
      </c>
      <c r="W112" t="e">
        <f>RTD("streambase.rtd",,"STREAM:AppOut", "FIELD:Symbol", CONCATENATE("TUPLENUM:", ROW()-2))</f>
        <v>#N/A</v>
      </c>
      <c r="X112" t="e">
        <f>RTD("streambase.rtd",,"STREAM:AppOut", "FIELD:OrderStatus", CONCATENATE("TUPLENUM:", ROW()-2))</f>
        <v>#N/A</v>
      </c>
      <c r="Y112" t="e">
        <f>RTD("streambase.rtd",,"STREAM:AppOut", "FIELD:BuySell", CONCATENATE("TUPLENUM:", ROW()-2))</f>
        <v>#N/A</v>
      </c>
      <c r="Z112" t="e">
        <f>RTD("streambase.rtd",,"STREAM:AppOut", "FIELD:Price", CONCATENATE("TUPLENUM:", ROW()-2))</f>
        <v>#N/A</v>
      </c>
      <c r="AA112" t="e">
        <f>RTD("streambase.rtd",,"STREAM:AppOut", "FIELD:OrderQty", CONCATENATE("TUPLENUM:", ROW()-2))</f>
        <v>#N/A</v>
      </c>
      <c r="AB112" t="e">
        <f>RTD("streambase.rtd",,"STREAM:AppOut", "FIELD:CumQty", CONCATENATE("TUPLENUM:", ROW()-2))</f>
        <v>#N/A</v>
      </c>
      <c r="AC112" t="e">
        <f>RTD("streambase.rtd",,"STREAM:AppOut", "FIELD:AvgPx", CONCATENATE("TUPLENUM:", ROW()-2))</f>
        <v>#N/A</v>
      </c>
      <c r="AD112" t="e">
        <f>RTD("streambase.rtd",,"STREAM:AppOut", "FIELD:UpdateNumber", CONCATENATE("TUPLENUM:", ROW()-2))</f>
        <v>#N/A</v>
      </c>
      <c r="AE112" t="e">
        <f>RTD("streambase.rtd",,"STREAM:AppOut", "FIELD:UpdateTime", CONCATENATE("TUPLENUM:", ROW()-2))</f>
        <v>#N/A</v>
      </c>
      <c r="AF112" t="e">
        <f>RTD("streambase.rtd",,"STREAM:AppOut", "FIELD:ReplacedbyReqID", CONCATENATE("TUPLENUM:", ROW()-2))</f>
        <v>#N/A</v>
      </c>
      <c r="AG112" t="e">
        <f>RTD("streambase.rtd",,"STREAM:AppOut", "FIELD:LeavesQty", CONCATENATE("TUPLENUM:", ROW()-2))</f>
        <v>#N/A</v>
      </c>
      <c r="AH112" t="e">
        <f>RTD("streambase.rtd",,"STREAM:AppOut", "FIELD:Account", CONCATENATE("TUPLENUM:", ROW()-2))</f>
        <v>#N/A</v>
      </c>
      <c r="AI112" t="e">
        <f>RTD("streambase.rtd",,"STREAM:AppOut", "FIELD:TradeDate", CONCATENATE("TUPLENUM:", ROW()-2))</f>
        <v>#N/A</v>
      </c>
    </row>
    <row r="113" spans="2:35">
      <c r="B113" s="15"/>
      <c r="C113" s="6"/>
      <c r="D113" s="6"/>
      <c r="H113" s="6"/>
      <c r="I113" s="6"/>
      <c r="L113" s="6"/>
      <c r="M113" s="6"/>
      <c r="N113"/>
      <c r="O113"/>
      <c r="U113" t="e">
        <f>RTD("streambase.rtd",,"STREAM:AppOut", "FIELD:AppOrdID", CONCATENATE("TUPLENUM:", ROW()-2))</f>
        <v>#N/A</v>
      </c>
      <c r="V113" t="e">
        <f>RTD("streambase.rtd",,"STREAM:AppOut", "FIELD:AppCxlRplID", CONCATENATE("TUPLENUM:", ROW()-2))</f>
        <v>#N/A</v>
      </c>
      <c r="W113" t="e">
        <f>RTD("streambase.rtd",,"STREAM:AppOut", "FIELD:Symbol", CONCATENATE("TUPLENUM:", ROW()-2))</f>
        <v>#N/A</v>
      </c>
      <c r="X113" t="e">
        <f>RTD("streambase.rtd",,"STREAM:AppOut", "FIELD:OrderStatus", CONCATENATE("TUPLENUM:", ROW()-2))</f>
        <v>#N/A</v>
      </c>
      <c r="Y113" t="e">
        <f>RTD("streambase.rtd",,"STREAM:AppOut", "FIELD:BuySell", CONCATENATE("TUPLENUM:", ROW()-2))</f>
        <v>#N/A</v>
      </c>
      <c r="Z113" t="e">
        <f>RTD("streambase.rtd",,"STREAM:AppOut", "FIELD:Price", CONCATENATE("TUPLENUM:", ROW()-2))</f>
        <v>#N/A</v>
      </c>
      <c r="AA113" t="e">
        <f>RTD("streambase.rtd",,"STREAM:AppOut", "FIELD:OrderQty", CONCATENATE("TUPLENUM:", ROW()-2))</f>
        <v>#N/A</v>
      </c>
      <c r="AB113" t="e">
        <f>RTD("streambase.rtd",,"STREAM:AppOut", "FIELD:CumQty", CONCATENATE("TUPLENUM:", ROW()-2))</f>
        <v>#N/A</v>
      </c>
      <c r="AC113" t="e">
        <f>RTD("streambase.rtd",,"STREAM:AppOut", "FIELD:AvgPx", CONCATENATE("TUPLENUM:", ROW()-2))</f>
        <v>#N/A</v>
      </c>
      <c r="AD113" t="e">
        <f>RTD("streambase.rtd",,"STREAM:AppOut", "FIELD:UpdateNumber", CONCATENATE("TUPLENUM:", ROW()-2))</f>
        <v>#N/A</v>
      </c>
      <c r="AE113" t="e">
        <f>RTD("streambase.rtd",,"STREAM:AppOut", "FIELD:UpdateTime", CONCATENATE("TUPLENUM:", ROW()-2))</f>
        <v>#N/A</v>
      </c>
      <c r="AF113" t="e">
        <f>RTD("streambase.rtd",,"STREAM:AppOut", "FIELD:ReplacedbyReqID", CONCATENATE("TUPLENUM:", ROW()-2))</f>
        <v>#N/A</v>
      </c>
      <c r="AG113" t="e">
        <f>RTD("streambase.rtd",,"STREAM:AppOut", "FIELD:LeavesQty", CONCATENATE("TUPLENUM:", ROW()-2))</f>
        <v>#N/A</v>
      </c>
      <c r="AH113" t="e">
        <f>RTD("streambase.rtd",,"STREAM:AppOut", "FIELD:Account", CONCATENATE("TUPLENUM:", ROW()-2))</f>
        <v>#N/A</v>
      </c>
      <c r="AI113" t="e">
        <f>RTD("streambase.rtd",,"STREAM:AppOut", "FIELD:TradeDate", CONCATENATE("TUPLENUM:", ROW()-2))</f>
        <v>#N/A</v>
      </c>
    </row>
    <row r="114" spans="2:35">
      <c r="B114" s="15"/>
      <c r="C114" s="6"/>
      <c r="D114" s="6"/>
      <c r="H114" s="6"/>
      <c r="I114" s="6"/>
      <c r="L114" s="6"/>
      <c r="M114" s="6"/>
      <c r="N114"/>
      <c r="O114"/>
      <c r="U114" t="e">
        <f>RTD("streambase.rtd",,"STREAM:AppOut", "FIELD:AppOrdID", CONCATENATE("TUPLENUM:", ROW()-2))</f>
        <v>#N/A</v>
      </c>
      <c r="V114" t="e">
        <f>RTD("streambase.rtd",,"STREAM:AppOut", "FIELD:AppCxlRplID", CONCATENATE("TUPLENUM:", ROW()-2))</f>
        <v>#N/A</v>
      </c>
      <c r="W114" t="e">
        <f>RTD("streambase.rtd",,"STREAM:AppOut", "FIELD:Symbol", CONCATENATE("TUPLENUM:", ROW()-2))</f>
        <v>#N/A</v>
      </c>
      <c r="X114" t="e">
        <f>RTD("streambase.rtd",,"STREAM:AppOut", "FIELD:OrderStatus", CONCATENATE("TUPLENUM:", ROW()-2))</f>
        <v>#N/A</v>
      </c>
      <c r="Y114" t="e">
        <f>RTD("streambase.rtd",,"STREAM:AppOut", "FIELD:BuySell", CONCATENATE("TUPLENUM:", ROW()-2))</f>
        <v>#N/A</v>
      </c>
      <c r="Z114" t="e">
        <f>RTD("streambase.rtd",,"STREAM:AppOut", "FIELD:Price", CONCATENATE("TUPLENUM:", ROW()-2))</f>
        <v>#N/A</v>
      </c>
      <c r="AA114" t="e">
        <f>RTD("streambase.rtd",,"STREAM:AppOut", "FIELD:OrderQty", CONCATENATE("TUPLENUM:", ROW()-2))</f>
        <v>#N/A</v>
      </c>
      <c r="AB114" t="e">
        <f>RTD("streambase.rtd",,"STREAM:AppOut", "FIELD:CumQty", CONCATENATE("TUPLENUM:", ROW()-2))</f>
        <v>#N/A</v>
      </c>
      <c r="AC114" t="e">
        <f>RTD("streambase.rtd",,"STREAM:AppOut", "FIELD:AvgPx", CONCATENATE("TUPLENUM:", ROW()-2))</f>
        <v>#N/A</v>
      </c>
      <c r="AD114" t="e">
        <f>RTD("streambase.rtd",,"STREAM:AppOut", "FIELD:UpdateNumber", CONCATENATE("TUPLENUM:", ROW()-2))</f>
        <v>#N/A</v>
      </c>
      <c r="AE114" t="e">
        <f>RTD("streambase.rtd",,"STREAM:AppOut", "FIELD:UpdateTime", CONCATENATE("TUPLENUM:", ROW()-2))</f>
        <v>#N/A</v>
      </c>
      <c r="AF114" t="e">
        <f>RTD("streambase.rtd",,"STREAM:AppOut", "FIELD:ReplacedbyReqID", CONCATENATE("TUPLENUM:", ROW()-2))</f>
        <v>#N/A</v>
      </c>
      <c r="AG114" t="e">
        <f>RTD("streambase.rtd",,"STREAM:AppOut", "FIELD:LeavesQty", CONCATENATE("TUPLENUM:", ROW()-2))</f>
        <v>#N/A</v>
      </c>
      <c r="AH114" t="e">
        <f>RTD("streambase.rtd",,"STREAM:AppOut", "FIELD:Account", CONCATENATE("TUPLENUM:", ROW()-2))</f>
        <v>#N/A</v>
      </c>
      <c r="AI114" t="e">
        <f>RTD("streambase.rtd",,"STREAM:AppOut", "FIELD:TradeDate", CONCATENATE("TUPLENUM:", ROW()-2))</f>
        <v>#N/A</v>
      </c>
    </row>
    <row r="115" spans="2:35">
      <c r="B115" s="15"/>
      <c r="C115" s="6"/>
      <c r="D115" s="6"/>
      <c r="H115" s="6"/>
      <c r="I115" s="6"/>
      <c r="L115" s="6"/>
      <c r="M115" s="6"/>
      <c r="N115"/>
      <c r="O115"/>
      <c r="U115" t="e">
        <f>RTD("streambase.rtd",,"STREAM:AppOut", "FIELD:AppOrdID", CONCATENATE("TUPLENUM:", ROW()-2))</f>
        <v>#N/A</v>
      </c>
      <c r="V115" t="e">
        <f>RTD("streambase.rtd",,"STREAM:AppOut", "FIELD:AppCxlRplID", CONCATENATE("TUPLENUM:", ROW()-2))</f>
        <v>#N/A</v>
      </c>
      <c r="W115" t="e">
        <f>RTD("streambase.rtd",,"STREAM:AppOut", "FIELD:Symbol", CONCATENATE("TUPLENUM:", ROW()-2))</f>
        <v>#N/A</v>
      </c>
      <c r="X115" t="e">
        <f>RTD("streambase.rtd",,"STREAM:AppOut", "FIELD:OrderStatus", CONCATENATE("TUPLENUM:", ROW()-2))</f>
        <v>#N/A</v>
      </c>
      <c r="Y115" t="e">
        <f>RTD("streambase.rtd",,"STREAM:AppOut", "FIELD:BuySell", CONCATENATE("TUPLENUM:", ROW()-2))</f>
        <v>#N/A</v>
      </c>
      <c r="Z115" t="e">
        <f>RTD("streambase.rtd",,"STREAM:AppOut", "FIELD:Price", CONCATENATE("TUPLENUM:", ROW()-2))</f>
        <v>#N/A</v>
      </c>
      <c r="AA115" t="e">
        <f>RTD("streambase.rtd",,"STREAM:AppOut", "FIELD:OrderQty", CONCATENATE("TUPLENUM:", ROW()-2))</f>
        <v>#N/A</v>
      </c>
      <c r="AB115" t="e">
        <f>RTD("streambase.rtd",,"STREAM:AppOut", "FIELD:CumQty", CONCATENATE("TUPLENUM:", ROW()-2))</f>
        <v>#N/A</v>
      </c>
      <c r="AC115" t="e">
        <f>RTD("streambase.rtd",,"STREAM:AppOut", "FIELD:AvgPx", CONCATENATE("TUPLENUM:", ROW()-2))</f>
        <v>#N/A</v>
      </c>
      <c r="AD115" t="e">
        <f>RTD("streambase.rtd",,"STREAM:AppOut", "FIELD:UpdateNumber", CONCATENATE("TUPLENUM:", ROW()-2))</f>
        <v>#N/A</v>
      </c>
      <c r="AE115" t="e">
        <f>RTD("streambase.rtd",,"STREAM:AppOut", "FIELD:UpdateTime", CONCATENATE("TUPLENUM:", ROW()-2))</f>
        <v>#N/A</v>
      </c>
      <c r="AF115" t="e">
        <f>RTD("streambase.rtd",,"STREAM:AppOut", "FIELD:ReplacedbyReqID", CONCATENATE("TUPLENUM:", ROW()-2))</f>
        <v>#N/A</v>
      </c>
      <c r="AG115" t="e">
        <f>RTD("streambase.rtd",,"STREAM:AppOut", "FIELD:LeavesQty", CONCATENATE("TUPLENUM:", ROW()-2))</f>
        <v>#N/A</v>
      </c>
      <c r="AH115" t="e">
        <f>RTD("streambase.rtd",,"STREAM:AppOut", "FIELD:Account", CONCATENATE("TUPLENUM:", ROW()-2))</f>
        <v>#N/A</v>
      </c>
      <c r="AI115" t="e">
        <f>RTD("streambase.rtd",,"STREAM:AppOut", "FIELD:TradeDate", CONCATENATE("TUPLENUM:", ROW()-2))</f>
        <v>#N/A</v>
      </c>
    </row>
    <row r="116" spans="2:35">
      <c r="B116" s="15"/>
      <c r="C116" s="6"/>
      <c r="D116" s="6"/>
      <c r="H116" s="6"/>
      <c r="I116" s="6"/>
      <c r="L116" s="6"/>
      <c r="M116" s="6"/>
      <c r="N116"/>
      <c r="O116"/>
      <c r="U116" t="e">
        <f>RTD("streambase.rtd",,"STREAM:AppOut", "FIELD:AppOrdID", CONCATENATE("TUPLENUM:", ROW()-2))</f>
        <v>#N/A</v>
      </c>
      <c r="V116" t="e">
        <f>RTD("streambase.rtd",,"STREAM:AppOut", "FIELD:AppCxlRplID", CONCATENATE("TUPLENUM:", ROW()-2))</f>
        <v>#N/A</v>
      </c>
      <c r="W116" t="e">
        <f>RTD("streambase.rtd",,"STREAM:AppOut", "FIELD:Symbol", CONCATENATE("TUPLENUM:", ROW()-2))</f>
        <v>#N/A</v>
      </c>
      <c r="X116" t="e">
        <f>RTD("streambase.rtd",,"STREAM:AppOut", "FIELD:OrderStatus", CONCATENATE("TUPLENUM:", ROW()-2))</f>
        <v>#N/A</v>
      </c>
      <c r="Y116" t="e">
        <f>RTD("streambase.rtd",,"STREAM:AppOut", "FIELD:BuySell", CONCATENATE("TUPLENUM:", ROW()-2))</f>
        <v>#N/A</v>
      </c>
      <c r="Z116" t="e">
        <f>RTD("streambase.rtd",,"STREAM:AppOut", "FIELD:Price", CONCATENATE("TUPLENUM:", ROW()-2))</f>
        <v>#N/A</v>
      </c>
      <c r="AA116" t="e">
        <f>RTD("streambase.rtd",,"STREAM:AppOut", "FIELD:OrderQty", CONCATENATE("TUPLENUM:", ROW()-2))</f>
        <v>#N/A</v>
      </c>
      <c r="AB116" t="e">
        <f>RTD("streambase.rtd",,"STREAM:AppOut", "FIELD:CumQty", CONCATENATE("TUPLENUM:", ROW()-2))</f>
        <v>#N/A</v>
      </c>
      <c r="AC116" t="e">
        <f>RTD("streambase.rtd",,"STREAM:AppOut", "FIELD:AvgPx", CONCATENATE("TUPLENUM:", ROW()-2))</f>
        <v>#N/A</v>
      </c>
      <c r="AD116" t="e">
        <f>RTD("streambase.rtd",,"STREAM:AppOut", "FIELD:UpdateNumber", CONCATENATE("TUPLENUM:", ROW()-2))</f>
        <v>#N/A</v>
      </c>
      <c r="AE116" t="e">
        <f>RTD("streambase.rtd",,"STREAM:AppOut", "FIELD:UpdateTime", CONCATENATE("TUPLENUM:", ROW()-2))</f>
        <v>#N/A</v>
      </c>
      <c r="AF116" t="e">
        <f>RTD("streambase.rtd",,"STREAM:AppOut", "FIELD:ReplacedbyReqID", CONCATENATE("TUPLENUM:", ROW()-2))</f>
        <v>#N/A</v>
      </c>
      <c r="AG116" t="e">
        <f>RTD("streambase.rtd",,"STREAM:AppOut", "FIELD:LeavesQty", CONCATENATE("TUPLENUM:", ROW()-2))</f>
        <v>#N/A</v>
      </c>
      <c r="AH116" t="e">
        <f>RTD("streambase.rtd",,"STREAM:AppOut", "FIELD:Account", CONCATENATE("TUPLENUM:", ROW()-2))</f>
        <v>#N/A</v>
      </c>
      <c r="AI116" t="e">
        <f>RTD("streambase.rtd",,"STREAM:AppOut", "FIELD:TradeDate", CONCATENATE("TUPLENUM:", ROW()-2))</f>
        <v>#N/A</v>
      </c>
    </row>
    <row r="117" spans="2:35">
      <c r="B117" s="15"/>
      <c r="C117" s="6"/>
      <c r="D117" s="6"/>
      <c r="H117" s="6"/>
      <c r="I117" s="6"/>
      <c r="L117" s="6"/>
      <c r="M117" s="6"/>
      <c r="N117"/>
      <c r="O117"/>
      <c r="U117" t="e">
        <f>RTD("streambase.rtd",,"STREAM:AppOut", "FIELD:AppOrdID", CONCATENATE("TUPLENUM:", ROW()-2))</f>
        <v>#N/A</v>
      </c>
      <c r="V117" t="e">
        <f>RTD("streambase.rtd",,"STREAM:AppOut", "FIELD:AppCxlRplID", CONCATENATE("TUPLENUM:", ROW()-2))</f>
        <v>#N/A</v>
      </c>
      <c r="W117" t="e">
        <f>RTD("streambase.rtd",,"STREAM:AppOut", "FIELD:Symbol", CONCATENATE("TUPLENUM:", ROW()-2))</f>
        <v>#N/A</v>
      </c>
      <c r="X117" t="e">
        <f>RTD("streambase.rtd",,"STREAM:AppOut", "FIELD:OrderStatus", CONCATENATE("TUPLENUM:", ROW()-2))</f>
        <v>#N/A</v>
      </c>
      <c r="Y117" t="e">
        <f>RTD("streambase.rtd",,"STREAM:AppOut", "FIELD:BuySell", CONCATENATE("TUPLENUM:", ROW()-2))</f>
        <v>#N/A</v>
      </c>
      <c r="Z117" t="e">
        <f>RTD("streambase.rtd",,"STREAM:AppOut", "FIELD:Price", CONCATENATE("TUPLENUM:", ROW()-2))</f>
        <v>#N/A</v>
      </c>
      <c r="AA117" t="e">
        <f>RTD("streambase.rtd",,"STREAM:AppOut", "FIELD:OrderQty", CONCATENATE("TUPLENUM:", ROW()-2))</f>
        <v>#N/A</v>
      </c>
      <c r="AB117" t="e">
        <f>RTD("streambase.rtd",,"STREAM:AppOut", "FIELD:CumQty", CONCATENATE("TUPLENUM:", ROW()-2))</f>
        <v>#N/A</v>
      </c>
      <c r="AC117" t="e">
        <f>RTD("streambase.rtd",,"STREAM:AppOut", "FIELD:AvgPx", CONCATENATE("TUPLENUM:", ROW()-2))</f>
        <v>#N/A</v>
      </c>
      <c r="AD117" t="e">
        <f>RTD("streambase.rtd",,"STREAM:AppOut", "FIELD:UpdateNumber", CONCATENATE("TUPLENUM:", ROW()-2))</f>
        <v>#N/A</v>
      </c>
      <c r="AE117" t="e">
        <f>RTD("streambase.rtd",,"STREAM:AppOut", "FIELD:UpdateTime", CONCATENATE("TUPLENUM:", ROW()-2))</f>
        <v>#N/A</v>
      </c>
      <c r="AF117" t="e">
        <f>RTD("streambase.rtd",,"STREAM:AppOut", "FIELD:ReplacedbyReqID", CONCATENATE("TUPLENUM:", ROW()-2))</f>
        <v>#N/A</v>
      </c>
      <c r="AG117" t="e">
        <f>RTD("streambase.rtd",,"STREAM:AppOut", "FIELD:LeavesQty", CONCATENATE("TUPLENUM:", ROW()-2))</f>
        <v>#N/A</v>
      </c>
      <c r="AH117" t="e">
        <f>RTD("streambase.rtd",,"STREAM:AppOut", "FIELD:Account", CONCATENATE("TUPLENUM:", ROW()-2))</f>
        <v>#N/A</v>
      </c>
      <c r="AI117" t="e">
        <f>RTD("streambase.rtd",,"STREAM:AppOut", "FIELD:TradeDate", CONCATENATE("TUPLENUM:", ROW()-2))</f>
        <v>#N/A</v>
      </c>
    </row>
    <row r="118" spans="2:35">
      <c r="B118" s="15"/>
      <c r="C118" s="6"/>
      <c r="D118" s="6"/>
      <c r="H118" s="6"/>
      <c r="I118" s="6"/>
      <c r="L118" s="6"/>
      <c r="M118" s="6"/>
      <c r="N118"/>
      <c r="O118"/>
      <c r="U118" t="e">
        <f>RTD("streambase.rtd",,"STREAM:AppOut", "FIELD:AppOrdID", CONCATENATE("TUPLENUM:", ROW()-2))</f>
        <v>#N/A</v>
      </c>
      <c r="V118" t="e">
        <f>RTD("streambase.rtd",,"STREAM:AppOut", "FIELD:AppCxlRplID", CONCATENATE("TUPLENUM:", ROW()-2))</f>
        <v>#N/A</v>
      </c>
      <c r="W118" t="e">
        <f>RTD("streambase.rtd",,"STREAM:AppOut", "FIELD:Symbol", CONCATENATE("TUPLENUM:", ROW()-2))</f>
        <v>#N/A</v>
      </c>
      <c r="X118" t="e">
        <f>RTD("streambase.rtd",,"STREAM:AppOut", "FIELD:OrderStatus", CONCATENATE("TUPLENUM:", ROW()-2))</f>
        <v>#N/A</v>
      </c>
      <c r="Y118" t="e">
        <f>RTD("streambase.rtd",,"STREAM:AppOut", "FIELD:BuySell", CONCATENATE("TUPLENUM:", ROW()-2))</f>
        <v>#N/A</v>
      </c>
      <c r="Z118" t="e">
        <f>RTD("streambase.rtd",,"STREAM:AppOut", "FIELD:Price", CONCATENATE("TUPLENUM:", ROW()-2))</f>
        <v>#N/A</v>
      </c>
      <c r="AA118" t="e">
        <f>RTD("streambase.rtd",,"STREAM:AppOut", "FIELD:OrderQty", CONCATENATE("TUPLENUM:", ROW()-2))</f>
        <v>#N/A</v>
      </c>
      <c r="AB118" t="e">
        <f>RTD("streambase.rtd",,"STREAM:AppOut", "FIELD:CumQty", CONCATENATE("TUPLENUM:", ROW()-2))</f>
        <v>#N/A</v>
      </c>
      <c r="AC118" t="e">
        <f>RTD("streambase.rtd",,"STREAM:AppOut", "FIELD:AvgPx", CONCATENATE("TUPLENUM:", ROW()-2))</f>
        <v>#N/A</v>
      </c>
      <c r="AD118" t="e">
        <f>RTD("streambase.rtd",,"STREAM:AppOut", "FIELD:UpdateNumber", CONCATENATE("TUPLENUM:", ROW()-2))</f>
        <v>#N/A</v>
      </c>
      <c r="AE118" t="e">
        <f>RTD("streambase.rtd",,"STREAM:AppOut", "FIELD:UpdateTime", CONCATENATE("TUPLENUM:", ROW()-2))</f>
        <v>#N/A</v>
      </c>
      <c r="AF118" t="e">
        <f>RTD("streambase.rtd",,"STREAM:AppOut", "FIELD:ReplacedbyReqID", CONCATENATE("TUPLENUM:", ROW()-2))</f>
        <v>#N/A</v>
      </c>
      <c r="AG118" t="e">
        <f>RTD("streambase.rtd",,"STREAM:AppOut", "FIELD:LeavesQty", CONCATENATE("TUPLENUM:", ROW()-2))</f>
        <v>#N/A</v>
      </c>
      <c r="AH118" t="e">
        <f>RTD("streambase.rtd",,"STREAM:AppOut", "FIELD:Account", CONCATENATE("TUPLENUM:", ROW()-2))</f>
        <v>#N/A</v>
      </c>
      <c r="AI118" t="e">
        <f>RTD("streambase.rtd",,"STREAM:AppOut", "FIELD:TradeDate", CONCATENATE("TUPLENUM:", ROW()-2))</f>
        <v>#N/A</v>
      </c>
    </row>
    <row r="119" spans="2:35">
      <c r="B119" s="15"/>
      <c r="C119" s="6"/>
      <c r="D119" s="6"/>
      <c r="H119" s="6"/>
      <c r="I119" s="6"/>
      <c r="L119" s="6"/>
      <c r="M119" s="6"/>
      <c r="N119"/>
      <c r="O119"/>
      <c r="U119" t="e">
        <f>RTD("streambase.rtd",,"STREAM:AppOut", "FIELD:AppOrdID", CONCATENATE("TUPLENUM:", ROW()-2))</f>
        <v>#N/A</v>
      </c>
      <c r="V119" t="e">
        <f>RTD("streambase.rtd",,"STREAM:AppOut", "FIELD:AppCxlRplID", CONCATENATE("TUPLENUM:", ROW()-2))</f>
        <v>#N/A</v>
      </c>
      <c r="W119" t="e">
        <f>RTD("streambase.rtd",,"STREAM:AppOut", "FIELD:Symbol", CONCATENATE("TUPLENUM:", ROW()-2))</f>
        <v>#N/A</v>
      </c>
      <c r="X119" t="e">
        <f>RTD("streambase.rtd",,"STREAM:AppOut", "FIELD:OrderStatus", CONCATENATE("TUPLENUM:", ROW()-2))</f>
        <v>#N/A</v>
      </c>
      <c r="Y119" t="e">
        <f>RTD("streambase.rtd",,"STREAM:AppOut", "FIELD:BuySell", CONCATENATE("TUPLENUM:", ROW()-2))</f>
        <v>#N/A</v>
      </c>
      <c r="Z119" t="e">
        <f>RTD("streambase.rtd",,"STREAM:AppOut", "FIELD:Price", CONCATENATE("TUPLENUM:", ROW()-2))</f>
        <v>#N/A</v>
      </c>
      <c r="AA119" t="e">
        <f>RTD("streambase.rtd",,"STREAM:AppOut", "FIELD:OrderQty", CONCATENATE("TUPLENUM:", ROW()-2))</f>
        <v>#N/A</v>
      </c>
      <c r="AB119" t="e">
        <f>RTD("streambase.rtd",,"STREAM:AppOut", "FIELD:CumQty", CONCATENATE("TUPLENUM:", ROW()-2))</f>
        <v>#N/A</v>
      </c>
      <c r="AC119" t="e">
        <f>RTD("streambase.rtd",,"STREAM:AppOut", "FIELD:AvgPx", CONCATENATE("TUPLENUM:", ROW()-2))</f>
        <v>#N/A</v>
      </c>
      <c r="AD119" t="e">
        <f>RTD("streambase.rtd",,"STREAM:AppOut", "FIELD:UpdateNumber", CONCATENATE("TUPLENUM:", ROW()-2))</f>
        <v>#N/A</v>
      </c>
      <c r="AE119" t="e">
        <f>RTD("streambase.rtd",,"STREAM:AppOut", "FIELD:UpdateTime", CONCATENATE("TUPLENUM:", ROW()-2))</f>
        <v>#N/A</v>
      </c>
      <c r="AF119" t="e">
        <f>RTD("streambase.rtd",,"STREAM:AppOut", "FIELD:ReplacedbyReqID", CONCATENATE("TUPLENUM:", ROW()-2))</f>
        <v>#N/A</v>
      </c>
      <c r="AG119" t="e">
        <f>RTD("streambase.rtd",,"STREAM:AppOut", "FIELD:LeavesQty", CONCATENATE("TUPLENUM:", ROW()-2))</f>
        <v>#N/A</v>
      </c>
      <c r="AH119" t="e">
        <f>RTD("streambase.rtd",,"STREAM:AppOut", "FIELD:Account", CONCATENATE("TUPLENUM:", ROW()-2))</f>
        <v>#N/A</v>
      </c>
      <c r="AI119" t="e">
        <f>RTD("streambase.rtd",,"STREAM:AppOut", "FIELD:TradeDate", CONCATENATE("TUPLENUM:", ROW()-2))</f>
        <v>#N/A</v>
      </c>
    </row>
    <row r="120" spans="2:35">
      <c r="B120" s="15"/>
      <c r="C120" s="6"/>
      <c r="D120" s="6"/>
      <c r="H120" s="6"/>
      <c r="I120" s="6"/>
      <c r="L120" s="6"/>
      <c r="M120" s="6"/>
      <c r="N120"/>
      <c r="O120"/>
      <c r="U120" t="e">
        <f>RTD("streambase.rtd",,"STREAM:AppOut", "FIELD:AppOrdID", CONCATENATE("TUPLENUM:", ROW()-2))</f>
        <v>#N/A</v>
      </c>
      <c r="V120" t="e">
        <f>RTD("streambase.rtd",,"STREAM:AppOut", "FIELD:AppCxlRplID", CONCATENATE("TUPLENUM:", ROW()-2))</f>
        <v>#N/A</v>
      </c>
      <c r="W120" t="e">
        <f>RTD("streambase.rtd",,"STREAM:AppOut", "FIELD:Symbol", CONCATENATE("TUPLENUM:", ROW()-2))</f>
        <v>#N/A</v>
      </c>
      <c r="X120" t="e">
        <f>RTD("streambase.rtd",,"STREAM:AppOut", "FIELD:OrderStatus", CONCATENATE("TUPLENUM:", ROW()-2))</f>
        <v>#N/A</v>
      </c>
      <c r="Y120" t="e">
        <f>RTD("streambase.rtd",,"STREAM:AppOut", "FIELD:BuySell", CONCATENATE("TUPLENUM:", ROW()-2))</f>
        <v>#N/A</v>
      </c>
      <c r="Z120" t="e">
        <f>RTD("streambase.rtd",,"STREAM:AppOut", "FIELD:Price", CONCATENATE("TUPLENUM:", ROW()-2))</f>
        <v>#N/A</v>
      </c>
      <c r="AA120" t="e">
        <f>RTD("streambase.rtd",,"STREAM:AppOut", "FIELD:OrderQty", CONCATENATE("TUPLENUM:", ROW()-2))</f>
        <v>#N/A</v>
      </c>
      <c r="AB120" t="e">
        <f>RTD("streambase.rtd",,"STREAM:AppOut", "FIELD:CumQty", CONCATENATE("TUPLENUM:", ROW()-2))</f>
        <v>#N/A</v>
      </c>
      <c r="AC120" t="e">
        <f>RTD("streambase.rtd",,"STREAM:AppOut", "FIELD:AvgPx", CONCATENATE("TUPLENUM:", ROW()-2))</f>
        <v>#N/A</v>
      </c>
      <c r="AD120" t="e">
        <f>RTD("streambase.rtd",,"STREAM:AppOut", "FIELD:UpdateNumber", CONCATENATE("TUPLENUM:", ROW()-2))</f>
        <v>#N/A</v>
      </c>
      <c r="AE120" t="e">
        <f>RTD("streambase.rtd",,"STREAM:AppOut", "FIELD:UpdateTime", CONCATENATE("TUPLENUM:", ROW()-2))</f>
        <v>#N/A</v>
      </c>
      <c r="AF120" t="e">
        <f>RTD("streambase.rtd",,"STREAM:AppOut", "FIELD:ReplacedbyReqID", CONCATENATE("TUPLENUM:", ROW()-2))</f>
        <v>#N/A</v>
      </c>
      <c r="AG120" t="e">
        <f>RTD("streambase.rtd",,"STREAM:AppOut", "FIELD:LeavesQty", CONCATENATE("TUPLENUM:", ROW()-2))</f>
        <v>#N/A</v>
      </c>
      <c r="AH120" t="e">
        <f>RTD("streambase.rtd",,"STREAM:AppOut", "FIELD:Account", CONCATENATE("TUPLENUM:", ROW()-2))</f>
        <v>#N/A</v>
      </c>
      <c r="AI120" t="e">
        <f>RTD("streambase.rtd",,"STREAM:AppOut", "FIELD:TradeDate", CONCATENATE("TUPLENUM:", ROW()-2))</f>
        <v>#N/A</v>
      </c>
    </row>
    <row r="121" spans="2:35">
      <c r="B121" s="15"/>
      <c r="C121" s="6"/>
      <c r="D121" s="6"/>
      <c r="H121" s="6"/>
      <c r="I121" s="6"/>
      <c r="L121" s="6"/>
      <c r="M121" s="6"/>
      <c r="N121"/>
      <c r="O121"/>
      <c r="U121" t="e">
        <f>RTD("streambase.rtd",,"STREAM:AppOut", "FIELD:AppOrdID", CONCATENATE("TUPLENUM:", ROW()-2))</f>
        <v>#N/A</v>
      </c>
      <c r="V121" t="e">
        <f>RTD("streambase.rtd",,"STREAM:AppOut", "FIELD:AppCxlRplID", CONCATENATE("TUPLENUM:", ROW()-2))</f>
        <v>#N/A</v>
      </c>
      <c r="W121" t="e">
        <f>RTD("streambase.rtd",,"STREAM:AppOut", "FIELD:Symbol", CONCATENATE("TUPLENUM:", ROW()-2))</f>
        <v>#N/A</v>
      </c>
      <c r="X121" t="e">
        <f>RTD("streambase.rtd",,"STREAM:AppOut", "FIELD:OrderStatus", CONCATENATE("TUPLENUM:", ROW()-2))</f>
        <v>#N/A</v>
      </c>
      <c r="Y121" t="e">
        <f>RTD("streambase.rtd",,"STREAM:AppOut", "FIELD:BuySell", CONCATENATE("TUPLENUM:", ROW()-2))</f>
        <v>#N/A</v>
      </c>
      <c r="Z121" t="e">
        <f>RTD("streambase.rtd",,"STREAM:AppOut", "FIELD:Price", CONCATENATE("TUPLENUM:", ROW()-2))</f>
        <v>#N/A</v>
      </c>
      <c r="AA121" t="e">
        <f>RTD("streambase.rtd",,"STREAM:AppOut", "FIELD:OrderQty", CONCATENATE("TUPLENUM:", ROW()-2))</f>
        <v>#N/A</v>
      </c>
      <c r="AB121" t="e">
        <f>RTD("streambase.rtd",,"STREAM:AppOut", "FIELD:CumQty", CONCATENATE("TUPLENUM:", ROW()-2))</f>
        <v>#N/A</v>
      </c>
      <c r="AC121" t="e">
        <f>RTD("streambase.rtd",,"STREAM:AppOut", "FIELD:AvgPx", CONCATENATE("TUPLENUM:", ROW()-2))</f>
        <v>#N/A</v>
      </c>
      <c r="AD121" t="e">
        <f>RTD("streambase.rtd",,"STREAM:AppOut", "FIELD:UpdateNumber", CONCATENATE("TUPLENUM:", ROW()-2))</f>
        <v>#N/A</v>
      </c>
      <c r="AE121" t="e">
        <f>RTD("streambase.rtd",,"STREAM:AppOut", "FIELD:UpdateTime", CONCATENATE("TUPLENUM:", ROW()-2))</f>
        <v>#N/A</v>
      </c>
      <c r="AF121" t="e">
        <f>RTD("streambase.rtd",,"STREAM:AppOut", "FIELD:ReplacedbyReqID", CONCATENATE("TUPLENUM:", ROW()-2))</f>
        <v>#N/A</v>
      </c>
      <c r="AG121" t="e">
        <f>RTD("streambase.rtd",,"STREAM:AppOut", "FIELD:LeavesQty", CONCATENATE("TUPLENUM:", ROW()-2))</f>
        <v>#N/A</v>
      </c>
      <c r="AH121" t="e">
        <f>RTD("streambase.rtd",,"STREAM:AppOut", "FIELD:Account", CONCATENATE("TUPLENUM:", ROW()-2))</f>
        <v>#N/A</v>
      </c>
      <c r="AI121" t="e">
        <f>RTD("streambase.rtd",,"STREAM:AppOut", "FIELD:TradeDate", CONCATENATE("TUPLENUM:", ROW()-2))</f>
        <v>#N/A</v>
      </c>
    </row>
    <row r="122" spans="2:35">
      <c r="B122" s="15"/>
      <c r="C122" s="6"/>
      <c r="D122" s="6"/>
      <c r="H122" s="6"/>
      <c r="I122" s="6"/>
      <c r="L122" s="6"/>
      <c r="M122" s="6"/>
      <c r="N122"/>
      <c r="O122"/>
      <c r="U122" t="e">
        <f>RTD("streambase.rtd",,"STREAM:AppOut", "FIELD:AppOrdID", CONCATENATE("TUPLENUM:", ROW()-2))</f>
        <v>#N/A</v>
      </c>
      <c r="V122" t="e">
        <f>RTD("streambase.rtd",,"STREAM:AppOut", "FIELD:AppCxlRplID", CONCATENATE("TUPLENUM:", ROW()-2))</f>
        <v>#N/A</v>
      </c>
      <c r="W122" t="e">
        <f>RTD("streambase.rtd",,"STREAM:AppOut", "FIELD:Symbol", CONCATENATE("TUPLENUM:", ROW()-2))</f>
        <v>#N/A</v>
      </c>
      <c r="X122" t="e">
        <f>RTD("streambase.rtd",,"STREAM:AppOut", "FIELD:OrderStatus", CONCATENATE("TUPLENUM:", ROW()-2))</f>
        <v>#N/A</v>
      </c>
      <c r="Y122" t="e">
        <f>RTD("streambase.rtd",,"STREAM:AppOut", "FIELD:BuySell", CONCATENATE("TUPLENUM:", ROW()-2))</f>
        <v>#N/A</v>
      </c>
      <c r="Z122" t="e">
        <f>RTD("streambase.rtd",,"STREAM:AppOut", "FIELD:Price", CONCATENATE("TUPLENUM:", ROW()-2))</f>
        <v>#N/A</v>
      </c>
      <c r="AA122" t="e">
        <f>RTD("streambase.rtd",,"STREAM:AppOut", "FIELD:OrderQty", CONCATENATE("TUPLENUM:", ROW()-2))</f>
        <v>#N/A</v>
      </c>
      <c r="AB122" t="e">
        <f>RTD("streambase.rtd",,"STREAM:AppOut", "FIELD:CumQty", CONCATENATE("TUPLENUM:", ROW()-2))</f>
        <v>#N/A</v>
      </c>
      <c r="AC122" t="e">
        <f>RTD("streambase.rtd",,"STREAM:AppOut", "FIELD:AvgPx", CONCATENATE("TUPLENUM:", ROW()-2))</f>
        <v>#N/A</v>
      </c>
      <c r="AD122" t="e">
        <f>RTD("streambase.rtd",,"STREAM:AppOut", "FIELD:UpdateNumber", CONCATENATE("TUPLENUM:", ROW()-2))</f>
        <v>#N/A</v>
      </c>
      <c r="AE122" t="e">
        <f>RTD("streambase.rtd",,"STREAM:AppOut", "FIELD:UpdateTime", CONCATENATE("TUPLENUM:", ROW()-2))</f>
        <v>#N/A</v>
      </c>
      <c r="AF122" t="e">
        <f>RTD("streambase.rtd",,"STREAM:AppOut", "FIELD:ReplacedbyReqID", CONCATENATE("TUPLENUM:", ROW()-2))</f>
        <v>#N/A</v>
      </c>
      <c r="AG122" t="e">
        <f>RTD("streambase.rtd",,"STREAM:AppOut", "FIELD:LeavesQty", CONCATENATE("TUPLENUM:", ROW()-2))</f>
        <v>#N/A</v>
      </c>
      <c r="AH122" t="e">
        <f>RTD("streambase.rtd",,"STREAM:AppOut", "FIELD:Account", CONCATENATE("TUPLENUM:", ROW()-2))</f>
        <v>#N/A</v>
      </c>
      <c r="AI122" t="e">
        <f>RTD("streambase.rtd",,"STREAM:AppOut", "FIELD:TradeDate", CONCATENATE("TUPLENUM:", ROW()-2))</f>
        <v>#N/A</v>
      </c>
    </row>
    <row r="123" spans="2:35">
      <c r="B123" s="15"/>
      <c r="C123" s="6"/>
      <c r="D123" s="6"/>
      <c r="H123" s="6"/>
      <c r="I123" s="6"/>
      <c r="L123" s="6"/>
      <c r="M123" s="6"/>
      <c r="N123"/>
      <c r="O123"/>
      <c r="U123" t="e">
        <f>RTD("streambase.rtd",,"STREAM:AppOut", "FIELD:AppOrdID", CONCATENATE("TUPLENUM:", ROW()-2))</f>
        <v>#N/A</v>
      </c>
      <c r="V123" t="e">
        <f>RTD("streambase.rtd",,"STREAM:AppOut", "FIELD:AppCxlRplID", CONCATENATE("TUPLENUM:", ROW()-2))</f>
        <v>#N/A</v>
      </c>
      <c r="W123" t="e">
        <f>RTD("streambase.rtd",,"STREAM:AppOut", "FIELD:Symbol", CONCATENATE("TUPLENUM:", ROW()-2))</f>
        <v>#N/A</v>
      </c>
      <c r="X123" t="e">
        <f>RTD("streambase.rtd",,"STREAM:AppOut", "FIELD:OrderStatus", CONCATENATE("TUPLENUM:", ROW()-2))</f>
        <v>#N/A</v>
      </c>
      <c r="Y123" t="e">
        <f>RTD("streambase.rtd",,"STREAM:AppOut", "FIELD:BuySell", CONCATENATE("TUPLENUM:", ROW()-2))</f>
        <v>#N/A</v>
      </c>
      <c r="Z123" t="e">
        <f>RTD("streambase.rtd",,"STREAM:AppOut", "FIELD:Price", CONCATENATE("TUPLENUM:", ROW()-2))</f>
        <v>#N/A</v>
      </c>
      <c r="AA123" t="e">
        <f>RTD("streambase.rtd",,"STREAM:AppOut", "FIELD:OrderQty", CONCATENATE("TUPLENUM:", ROW()-2))</f>
        <v>#N/A</v>
      </c>
      <c r="AB123" t="e">
        <f>RTD("streambase.rtd",,"STREAM:AppOut", "FIELD:CumQty", CONCATENATE("TUPLENUM:", ROW()-2))</f>
        <v>#N/A</v>
      </c>
      <c r="AC123" t="e">
        <f>RTD("streambase.rtd",,"STREAM:AppOut", "FIELD:AvgPx", CONCATENATE("TUPLENUM:", ROW()-2))</f>
        <v>#N/A</v>
      </c>
      <c r="AD123" t="e">
        <f>RTD("streambase.rtd",,"STREAM:AppOut", "FIELD:UpdateNumber", CONCATENATE("TUPLENUM:", ROW()-2))</f>
        <v>#N/A</v>
      </c>
      <c r="AE123" t="e">
        <f>RTD("streambase.rtd",,"STREAM:AppOut", "FIELD:UpdateTime", CONCATENATE("TUPLENUM:", ROW()-2))</f>
        <v>#N/A</v>
      </c>
      <c r="AF123" t="e">
        <f>RTD("streambase.rtd",,"STREAM:AppOut", "FIELD:ReplacedbyReqID", CONCATENATE("TUPLENUM:", ROW()-2))</f>
        <v>#N/A</v>
      </c>
      <c r="AG123" t="e">
        <f>RTD("streambase.rtd",,"STREAM:AppOut", "FIELD:LeavesQty", CONCATENATE("TUPLENUM:", ROW()-2))</f>
        <v>#N/A</v>
      </c>
      <c r="AH123" t="e">
        <f>RTD("streambase.rtd",,"STREAM:AppOut", "FIELD:Account", CONCATENATE("TUPLENUM:", ROW()-2))</f>
        <v>#N/A</v>
      </c>
      <c r="AI123" t="e">
        <f>RTD("streambase.rtd",,"STREAM:AppOut", "FIELD:TradeDate", CONCATENATE("TUPLENUM:", ROW()-2))</f>
        <v>#N/A</v>
      </c>
    </row>
    <row r="124" spans="2:35">
      <c r="B124" s="15"/>
      <c r="C124" s="6"/>
      <c r="D124" s="6"/>
      <c r="H124" s="6"/>
      <c r="I124" s="6"/>
      <c r="L124" s="6"/>
      <c r="M124" s="6"/>
      <c r="N124"/>
      <c r="O124"/>
      <c r="U124" t="e">
        <f>RTD("streambase.rtd",,"STREAM:AppOut", "FIELD:AppOrdID", CONCATENATE("TUPLENUM:", ROW()-2))</f>
        <v>#N/A</v>
      </c>
      <c r="V124" t="e">
        <f>RTD("streambase.rtd",,"STREAM:AppOut", "FIELD:AppCxlRplID", CONCATENATE("TUPLENUM:", ROW()-2))</f>
        <v>#N/A</v>
      </c>
      <c r="W124" t="e">
        <f>RTD("streambase.rtd",,"STREAM:AppOut", "FIELD:Symbol", CONCATENATE("TUPLENUM:", ROW()-2))</f>
        <v>#N/A</v>
      </c>
      <c r="X124" t="e">
        <f>RTD("streambase.rtd",,"STREAM:AppOut", "FIELD:OrderStatus", CONCATENATE("TUPLENUM:", ROW()-2))</f>
        <v>#N/A</v>
      </c>
      <c r="Y124" t="e">
        <f>RTD("streambase.rtd",,"STREAM:AppOut", "FIELD:BuySell", CONCATENATE("TUPLENUM:", ROW()-2))</f>
        <v>#N/A</v>
      </c>
      <c r="Z124" t="e">
        <f>RTD("streambase.rtd",,"STREAM:AppOut", "FIELD:Price", CONCATENATE("TUPLENUM:", ROW()-2))</f>
        <v>#N/A</v>
      </c>
      <c r="AA124" t="e">
        <f>RTD("streambase.rtd",,"STREAM:AppOut", "FIELD:OrderQty", CONCATENATE("TUPLENUM:", ROW()-2))</f>
        <v>#N/A</v>
      </c>
      <c r="AB124" t="e">
        <f>RTD("streambase.rtd",,"STREAM:AppOut", "FIELD:CumQty", CONCATENATE("TUPLENUM:", ROW()-2))</f>
        <v>#N/A</v>
      </c>
      <c r="AC124" t="e">
        <f>RTD("streambase.rtd",,"STREAM:AppOut", "FIELD:AvgPx", CONCATENATE("TUPLENUM:", ROW()-2))</f>
        <v>#N/A</v>
      </c>
      <c r="AD124" t="e">
        <f>RTD("streambase.rtd",,"STREAM:AppOut", "FIELD:UpdateNumber", CONCATENATE("TUPLENUM:", ROW()-2))</f>
        <v>#N/A</v>
      </c>
      <c r="AE124" t="e">
        <f>RTD("streambase.rtd",,"STREAM:AppOut", "FIELD:UpdateTime", CONCATENATE("TUPLENUM:", ROW()-2))</f>
        <v>#N/A</v>
      </c>
      <c r="AF124" t="e">
        <f>RTD("streambase.rtd",,"STREAM:AppOut", "FIELD:ReplacedbyReqID", CONCATENATE("TUPLENUM:", ROW()-2))</f>
        <v>#N/A</v>
      </c>
      <c r="AG124" t="e">
        <f>RTD("streambase.rtd",,"STREAM:AppOut", "FIELD:LeavesQty", CONCATENATE("TUPLENUM:", ROW()-2))</f>
        <v>#N/A</v>
      </c>
      <c r="AH124" t="e">
        <f>RTD("streambase.rtd",,"STREAM:AppOut", "FIELD:Account", CONCATENATE("TUPLENUM:", ROW()-2))</f>
        <v>#N/A</v>
      </c>
      <c r="AI124" t="e">
        <f>RTD("streambase.rtd",,"STREAM:AppOut", "FIELD:TradeDate", CONCATENATE("TUPLENUM:", ROW()-2))</f>
        <v>#N/A</v>
      </c>
    </row>
    <row r="125" spans="2:35">
      <c r="B125" s="15"/>
      <c r="C125" s="6"/>
      <c r="D125" s="6"/>
      <c r="H125" s="6"/>
      <c r="I125" s="6"/>
      <c r="L125" s="6"/>
      <c r="M125" s="6"/>
      <c r="N125"/>
      <c r="O125"/>
      <c r="U125" t="e">
        <f>RTD("streambase.rtd",,"STREAM:AppOut", "FIELD:AppOrdID", CONCATENATE("TUPLENUM:", ROW()-2))</f>
        <v>#N/A</v>
      </c>
      <c r="V125" t="e">
        <f>RTD("streambase.rtd",,"STREAM:AppOut", "FIELD:AppCxlRplID", CONCATENATE("TUPLENUM:", ROW()-2))</f>
        <v>#N/A</v>
      </c>
      <c r="W125" t="e">
        <f>RTD("streambase.rtd",,"STREAM:AppOut", "FIELD:Symbol", CONCATENATE("TUPLENUM:", ROW()-2))</f>
        <v>#N/A</v>
      </c>
      <c r="X125" t="e">
        <f>RTD("streambase.rtd",,"STREAM:AppOut", "FIELD:OrderStatus", CONCATENATE("TUPLENUM:", ROW()-2))</f>
        <v>#N/A</v>
      </c>
      <c r="Y125" t="e">
        <f>RTD("streambase.rtd",,"STREAM:AppOut", "FIELD:BuySell", CONCATENATE("TUPLENUM:", ROW()-2))</f>
        <v>#N/A</v>
      </c>
      <c r="Z125" t="e">
        <f>RTD("streambase.rtd",,"STREAM:AppOut", "FIELD:Price", CONCATENATE("TUPLENUM:", ROW()-2))</f>
        <v>#N/A</v>
      </c>
      <c r="AA125" t="e">
        <f>RTD("streambase.rtd",,"STREAM:AppOut", "FIELD:OrderQty", CONCATENATE("TUPLENUM:", ROW()-2))</f>
        <v>#N/A</v>
      </c>
      <c r="AB125" t="e">
        <f>RTD("streambase.rtd",,"STREAM:AppOut", "FIELD:CumQty", CONCATENATE("TUPLENUM:", ROW()-2))</f>
        <v>#N/A</v>
      </c>
      <c r="AC125" t="e">
        <f>RTD("streambase.rtd",,"STREAM:AppOut", "FIELD:AvgPx", CONCATENATE("TUPLENUM:", ROW()-2))</f>
        <v>#N/A</v>
      </c>
      <c r="AD125" t="e">
        <f>RTD("streambase.rtd",,"STREAM:AppOut", "FIELD:UpdateNumber", CONCATENATE("TUPLENUM:", ROW()-2))</f>
        <v>#N/A</v>
      </c>
      <c r="AE125" t="e">
        <f>RTD("streambase.rtd",,"STREAM:AppOut", "FIELD:UpdateTime", CONCATENATE("TUPLENUM:", ROW()-2))</f>
        <v>#N/A</v>
      </c>
      <c r="AF125" t="e">
        <f>RTD("streambase.rtd",,"STREAM:AppOut", "FIELD:ReplacedbyReqID", CONCATENATE("TUPLENUM:", ROW()-2))</f>
        <v>#N/A</v>
      </c>
      <c r="AG125" t="e">
        <f>RTD("streambase.rtd",,"STREAM:AppOut", "FIELD:LeavesQty", CONCATENATE("TUPLENUM:", ROW()-2))</f>
        <v>#N/A</v>
      </c>
      <c r="AH125" t="e">
        <f>RTD("streambase.rtd",,"STREAM:AppOut", "FIELD:Account", CONCATENATE("TUPLENUM:", ROW()-2))</f>
        <v>#N/A</v>
      </c>
      <c r="AI125" t="e">
        <f>RTD("streambase.rtd",,"STREAM:AppOut", "FIELD:TradeDate", CONCATENATE("TUPLENUM:", ROW()-2))</f>
        <v>#N/A</v>
      </c>
    </row>
    <row r="126" spans="2:35">
      <c r="B126" s="15"/>
      <c r="C126" s="6"/>
      <c r="D126" s="6"/>
      <c r="I126" s="6"/>
      <c r="L126" s="6"/>
      <c r="M126" s="6"/>
      <c r="N126"/>
      <c r="O126"/>
      <c r="U126" t="e">
        <f>RTD("streambase.rtd",,"STREAM:AppOut", "FIELD:AppOrdID", CONCATENATE("TUPLENUM:", ROW()-2))</f>
        <v>#N/A</v>
      </c>
      <c r="V126" t="e">
        <f>RTD("streambase.rtd",,"STREAM:AppOut", "FIELD:AppCxlRplID", CONCATENATE("TUPLENUM:", ROW()-2))</f>
        <v>#N/A</v>
      </c>
      <c r="W126" t="e">
        <f>RTD("streambase.rtd",,"STREAM:AppOut", "FIELD:Symbol", CONCATENATE("TUPLENUM:", ROW()-2))</f>
        <v>#N/A</v>
      </c>
      <c r="X126" t="e">
        <f>RTD("streambase.rtd",,"STREAM:AppOut", "FIELD:OrderStatus", CONCATENATE("TUPLENUM:", ROW()-2))</f>
        <v>#N/A</v>
      </c>
      <c r="Y126" t="e">
        <f>RTD("streambase.rtd",,"STREAM:AppOut", "FIELD:BuySell", CONCATENATE("TUPLENUM:", ROW()-2))</f>
        <v>#N/A</v>
      </c>
      <c r="Z126" t="e">
        <f>RTD("streambase.rtd",,"STREAM:AppOut", "FIELD:Price", CONCATENATE("TUPLENUM:", ROW()-2))</f>
        <v>#N/A</v>
      </c>
      <c r="AA126" t="e">
        <f>RTD("streambase.rtd",,"STREAM:AppOut", "FIELD:OrderQty", CONCATENATE("TUPLENUM:", ROW()-2))</f>
        <v>#N/A</v>
      </c>
      <c r="AB126" t="e">
        <f>RTD("streambase.rtd",,"STREAM:AppOut", "FIELD:CumQty", CONCATENATE("TUPLENUM:", ROW()-2))</f>
        <v>#N/A</v>
      </c>
      <c r="AC126" t="e">
        <f>RTD("streambase.rtd",,"STREAM:AppOut", "FIELD:AvgPx", CONCATENATE("TUPLENUM:", ROW()-2))</f>
        <v>#N/A</v>
      </c>
      <c r="AD126" t="e">
        <f>RTD("streambase.rtd",,"STREAM:AppOut", "FIELD:UpdateNumber", CONCATENATE("TUPLENUM:", ROW()-2))</f>
        <v>#N/A</v>
      </c>
      <c r="AE126" t="e">
        <f>RTD("streambase.rtd",,"STREAM:AppOut", "FIELD:UpdateTime", CONCATENATE("TUPLENUM:", ROW()-2))</f>
        <v>#N/A</v>
      </c>
      <c r="AF126" t="e">
        <f>RTD("streambase.rtd",,"STREAM:AppOut", "FIELD:ReplacedbyReqID", CONCATENATE("TUPLENUM:", ROW()-2))</f>
        <v>#N/A</v>
      </c>
      <c r="AG126" t="e">
        <f>RTD("streambase.rtd",,"STREAM:AppOut", "FIELD:LeavesQty", CONCATENATE("TUPLENUM:", ROW()-2))</f>
        <v>#N/A</v>
      </c>
      <c r="AH126" t="e">
        <f>RTD("streambase.rtd",,"STREAM:AppOut", "FIELD:Account", CONCATENATE("TUPLENUM:", ROW()-2))</f>
        <v>#N/A</v>
      </c>
      <c r="AI126" t="e">
        <f>RTD("streambase.rtd",,"STREAM:AppOut", "FIELD:TradeDate", CONCATENATE("TUPLENUM:", ROW()-2))</f>
        <v>#N/A</v>
      </c>
    </row>
    <row r="127" spans="2:35">
      <c r="B127" s="15"/>
      <c r="C127" s="6"/>
      <c r="D127" s="6"/>
      <c r="I127" s="6"/>
      <c r="L127" s="6"/>
      <c r="M127" s="6"/>
      <c r="N127"/>
      <c r="O127"/>
      <c r="U127" t="e">
        <f>RTD("streambase.rtd",,"STREAM:AppOut", "FIELD:AppOrdID", CONCATENATE("TUPLENUM:", ROW()-2))</f>
        <v>#N/A</v>
      </c>
      <c r="V127" t="e">
        <f>RTD("streambase.rtd",,"STREAM:AppOut", "FIELD:AppCxlRplID", CONCATENATE("TUPLENUM:", ROW()-2))</f>
        <v>#N/A</v>
      </c>
      <c r="W127" t="e">
        <f>RTD("streambase.rtd",,"STREAM:AppOut", "FIELD:Symbol", CONCATENATE("TUPLENUM:", ROW()-2))</f>
        <v>#N/A</v>
      </c>
      <c r="X127" t="e">
        <f>RTD("streambase.rtd",,"STREAM:AppOut", "FIELD:OrderStatus", CONCATENATE("TUPLENUM:", ROW()-2))</f>
        <v>#N/A</v>
      </c>
      <c r="Y127" t="e">
        <f>RTD("streambase.rtd",,"STREAM:AppOut", "FIELD:BuySell", CONCATENATE("TUPLENUM:", ROW()-2))</f>
        <v>#N/A</v>
      </c>
      <c r="Z127" t="e">
        <f>RTD("streambase.rtd",,"STREAM:AppOut", "FIELD:Price", CONCATENATE("TUPLENUM:", ROW()-2))</f>
        <v>#N/A</v>
      </c>
      <c r="AA127" t="e">
        <f>RTD("streambase.rtd",,"STREAM:AppOut", "FIELD:OrderQty", CONCATENATE("TUPLENUM:", ROW()-2))</f>
        <v>#N/A</v>
      </c>
      <c r="AB127" t="e">
        <f>RTD("streambase.rtd",,"STREAM:AppOut", "FIELD:CumQty", CONCATENATE("TUPLENUM:", ROW()-2))</f>
        <v>#N/A</v>
      </c>
      <c r="AC127" t="e">
        <f>RTD("streambase.rtd",,"STREAM:AppOut", "FIELD:AvgPx", CONCATENATE("TUPLENUM:", ROW()-2))</f>
        <v>#N/A</v>
      </c>
      <c r="AD127" t="e">
        <f>RTD("streambase.rtd",,"STREAM:AppOut", "FIELD:UpdateNumber", CONCATENATE("TUPLENUM:", ROW()-2))</f>
        <v>#N/A</v>
      </c>
      <c r="AE127" t="e">
        <f>RTD("streambase.rtd",,"STREAM:AppOut", "FIELD:UpdateTime", CONCATENATE("TUPLENUM:", ROW()-2))</f>
        <v>#N/A</v>
      </c>
      <c r="AF127" t="e">
        <f>RTD("streambase.rtd",,"STREAM:AppOut", "FIELD:ReplacedbyReqID", CONCATENATE("TUPLENUM:", ROW()-2))</f>
        <v>#N/A</v>
      </c>
      <c r="AG127" t="e">
        <f>RTD("streambase.rtd",,"STREAM:AppOut", "FIELD:LeavesQty", CONCATENATE("TUPLENUM:", ROW()-2))</f>
        <v>#N/A</v>
      </c>
      <c r="AH127" t="e">
        <f>RTD("streambase.rtd",,"STREAM:AppOut", "FIELD:Account", CONCATENATE("TUPLENUM:", ROW()-2))</f>
        <v>#N/A</v>
      </c>
      <c r="AI127" t="e">
        <f>RTD("streambase.rtd",,"STREAM:AppOut", "FIELD:TradeDate", CONCATENATE("TUPLENUM:", ROW()-2))</f>
        <v>#N/A</v>
      </c>
    </row>
    <row r="128" spans="2:35">
      <c r="B128" s="15"/>
      <c r="C128" s="6"/>
      <c r="D128" s="6"/>
      <c r="I128" s="6"/>
      <c r="L128" s="6"/>
      <c r="M128" s="6"/>
      <c r="N128"/>
      <c r="O128"/>
      <c r="U128" t="e">
        <f>RTD("streambase.rtd",,"STREAM:AppOut", "FIELD:AppOrdID", CONCATENATE("TUPLENUM:", ROW()-2))</f>
        <v>#N/A</v>
      </c>
      <c r="V128" t="e">
        <f>RTD("streambase.rtd",,"STREAM:AppOut", "FIELD:AppCxlRplID", CONCATENATE("TUPLENUM:", ROW()-2))</f>
        <v>#N/A</v>
      </c>
      <c r="W128" t="e">
        <f>RTD("streambase.rtd",,"STREAM:AppOut", "FIELD:Symbol", CONCATENATE("TUPLENUM:", ROW()-2))</f>
        <v>#N/A</v>
      </c>
      <c r="X128" t="e">
        <f>RTD("streambase.rtd",,"STREAM:AppOut", "FIELD:OrderStatus", CONCATENATE("TUPLENUM:", ROW()-2))</f>
        <v>#N/A</v>
      </c>
      <c r="Y128" t="e">
        <f>RTD("streambase.rtd",,"STREAM:AppOut", "FIELD:BuySell", CONCATENATE("TUPLENUM:", ROW()-2))</f>
        <v>#N/A</v>
      </c>
      <c r="Z128" t="e">
        <f>RTD("streambase.rtd",,"STREAM:AppOut", "FIELD:Price", CONCATENATE("TUPLENUM:", ROW()-2))</f>
        <v>#N/A</v>
      </c>
      <c r="AA128" t="e">
        <f>RTD("streambase.rtd",,"STREAM:AppOut", "FIELD:OrderQty", CONCATENATE("TUPLENUM:", ROW()-2))</f>
        <v>#N/A</v>
      </c>
      <c r="AB128" t="e">
        <f>RTD("streambase.rtd",,"STREAM:AppOut", "FIELD:CumQty", CONCATENATE("TUPLENUM:", ROW()-2))</f>
        <v>#N/A</v>
      </c>
      <c r="AC128" t="e">
        <f>RTD("streambase.rtd",,"STREAM:AppOut", "FIELD:AvgPx", CONCATENATE("TUPLENUM:", ROW()-2))</f>
        <v>#N/A</v>
      </c>
      <c r="AD128" t="e">
        <f>RTD("streambase.rtd",,"STREAM:AppOut", "FIELD:UpdateNumber", CONCATENATE("TUPLENUM:", ROW()-2))</f>
        <v>#N/A</v>
      </c>
      <c r="AE128" t="e">
        <f>RTD("streambase.rtd",,"STREAM:AppOut", "FIELD:UpdateTime", CONCATENATE("TUPLENUM:", ROW()-2))</f>
        <v>#N/A</v>
      </c>
      <c r="AF128" t="e">
        <f>RTD("streambase.rtd",,"STREAM:AppOut", "FIELD:ReplacedbyReqID", CONCATENATE("TUPLENUM:", ROW()-2))</f>
        <v>#N/A</v>
      </c>
      <c r="AG128" t="e">
        <f>RTD("streambase.rtd",,"STREAM:AppOut", "FIELD:LeavesQty", CONCATENATE("TUPLENUM:", ROW()-2))</f>
        <v>#N/A</v>
      </c>
      <c r="AH128" t="e">
        <f>RTD("streambase.rtd",,"STREAM:AppOut", "FIELD:Account", CONCATENATE("TUPLENUM:", ROW()-2))</f>
        <v>#N/A</v>
      </c>
      <c r="AI128" t="e">
        <f>RTD("streambase.rtd",,"STREAM:AppOut", "FIELD:TradeDate", CONCATENATE("TUPLENUM:", ROW()-2))</f>
        <v>#N/A</v>
      </c>
    </row>
    <row r="129" spans="2:35">
      <c r="B129" s="15"/>
      <c r="C129" s="6"/>
      <c r="D129" s="6"/>
      <c r="I129" s="6"/>
      <c r="L129" s="6"/>
      <c r="M129" s="6"/>
      <c r="N129"/>
      <c r="O129"/>
      <c r="U129" t="e">
        <f>RTD("streambase.rtd",,"STREAM:AppOut", "FIELD:AppOrdID", CONCATENATE("TUPLENUM:", ROW()-2))</f>
        <v>#N/A</v>
      </c>
      <c r="V129" t="e">
        <f>RTD("streambase.rtd",,"STREAM:AppOut", "FIELD:AppCxlRplID", CONCATENATE("TUPLENUM:", ROW()-2))</f>
        <v>#N/A</v>
      </c>
      <c r="W129" t="e">
        <f>RTD("streambase.rtd",,"STREAM:AppOut", "FIELD:Symbol", CONCATENATE("TUPLENUM:", ROW()-2))</f>
        <v>#N/A</v>
      </c>
      <c r="X129" t="e">
        <f>RTD("streambase.rtd",,"STREAM:AppOut", "FIELD:OrderStatus", CONCATENATE("TUPLENUM:", ROW()-2))</f>
        <v>#N/A</v>
      </c>
      <c r="Y129" t="e">
        <f>RTD("streambase.rtd",,"STREAM:AppOut", "FIELD:BuySell", CONCATENATE("TUPLENUM:", ROW()-2))</f>
        <v>#N/A</v>
      </c>
      <c r="Z129" t="e">
        <f>RTD("streambase.rtd",,"STREAM:AppOut", "FIELD:Price", CONCATENATE("TUPLENUM:", ROW()-2))</f>
        <v>#N/A</v>
      </c>
      <c r="AA129" t="e">
        <f>RTD("streambase.rtd",,"STREAM:AppOut", "FIELD:OrderQty", CONCATENATE("TUPLENUM:", ROW()-2))</f>
        <v>#N/A</v>
      </c>
      <c r="AB129" t="e">
        <f>RTD("streambase.rtd",,"STREAM:AppOut", "FIELD:CumQty", CONCATENATE("TUPLENUM:", ROW()-2))</f>
        <v>#N/A</v>
      </c>
      <c r="AC129" t="e">
        <f>RTD("streambase.rtd",,"STREAM:AppOut", "FIELD:AvgPx", CONCATENATE("TUPLENUM:", ROW()-2))</f>
        <v>#N/A</v>
      </c>
      <c r="AD129" t="e">
        <f>RTD("streambase.rtd",,"STREAM:AppOut", "FIELD:UpdateNumber", CONCATENATE("TUPLENUM:", ROW()-2))</f>
        <v>#N/A</v>
      </c>
      <c r="AE129" t="e">
        <f>RTD("streambase.rtd",,"STREAM:AppOut", "FIELD:UpdateTime", CONCATENATE("TUPLENUM:", ROW()-2))</f>
        <v>#N/A</v>
      </c>
      <c r="AF129" t="e">
        <f>RTD("streambase.rtd",,"STREAM:AppOut", "FIELD:ReplacedbyReqID", CONCATENATE("TUPLENUM:", ROW()-2))</f>
        <v>#N/A</v>
      </c>
      <c r="AG129" t="e">
        <f>RTD("streambase.rtd",,"STREAM:AppOut", "FIELD:LeavesQty", CONCATENATE("TUPLENUM:", ROW()-2))</f>
        <v>#N/A</v>
      </c>
      <c r="AH129" t="e">
        <f>RTD("streambase.rtd",,"STREAM:AppOut", "FIELD:Account", CONCATENATE("TUPLENUM:", ROW()-2))</f>
        <v>#N/A</v>
      </c>
      <c r="AI129" t="e">
        <f>RTD("streambase.rtd",,"STREAM:AppOut", "FIELD:TradeDate", CONCATENATE("TUPLENUM:", ROW()-2))</f>
        <v>#N/A</v>
      </c>
    </row>
    <row r="130" spans="2:35">
      <c r="B130" s="15"/>
      <c r="C130" s="6"/>
      <c r="D130" s="6"/>
      <c r="I130" s="6"/>
      <c r="L130" s="6"/>
      <c r="M130" s="6"/>
      <c r="N130"/>
      <c r="O130"/>
      <c r="U130" t="e">
        <f>RTD("streambase.rtd",,"STREAM:AppOut", "FIELD:AppOrdID", CONCATENATE("TUPLENUM:", ROW()-2))</f>
        <v>#N/A</v>
      </c>
      <c r="V130" t="e">
        <f>RTD("streambase.rtd",,"STREAM:AppOut", "FIELD:AppCxlRplID", CONCATENATE("TUPLENUM:", ROW()-2))</f>
        <v>#N/A</v>
      </c>
      <c r="W130" t="e">
        <f>RTD("streambase.rtd",,"STREAM:AppOut", "FIELD:Symbol", CONCATENATE("TUPLENUM:", ROW()-2))</f>
        <v>#N/A</v>
      </c>
      <c r="X130" t="e">
        <f>RTD("streambase.rtd",,"STREAM:AppOut", "FIELD:OrderStatus", CONCATENATE("TUPLENUM:", ROW()-2))</f>
        <v>#N/A</v>
      </c>
      <c r="Y130" t="e">
        <f>RTD("streambase.rtd",,"STREAM:AppOut", "FIELD:BuySell", CONCATENATE("TUPLENUM:", ROW()-2))</f>
        <v>#N/A</v>
      </c>
      <c r="Z130" t="e">
        <f>RTD("streambase.rtd",,"STREAM:AppOut", "FIELD:Price", CONCATENATE("TUPLENUM:", ROW()-2))</f>
        <v>#N/A</v>
      </c>
      <c r="AA130" t="e">
        <f>RTD("streambase.rtd",,"STREAM:AppOut", "FIELD:OrderQty", CONCATENATE("TUPLENUM:", ROW()-2))</f>
        <v>#N/A</v>
      </c>
      <c r="AB130" t="e">
        <f>RTD("streambase.rtd",,"STREAM:AppOut", "FIELD:CumQty", CONCATENATE("TUPLENUM:", ROW()-2))</f>
        <v>#N/A</v>
      </c>
      <c r="AC130" t="e">
        <f>RTD("streambase.rtd",,"STREAM:AppOut", "FIELD:AvgPx", CONCATENATE("TUPLENUM:", ROW()-2))</f>
        <v>#N/A</v>
      </c>
      <c r="AD130" t="e">
        <f>RTD("streambase.rtd",,"STREAM:AppOut", "FIELD:UpdateNumber", CONCATENATE("TUPLENUM:", ROW()-2))</f>
        <v>#N/A</v>
      </c>
      <c r="AE130" t="e">
        <f>RTD("streambase.rtd",,"STREAM:AppOut", "FIELD:UpdateTime", CONCATENATE("TUPLENUM:", ROW()-2))</f>
        <v>#N/A</v>
      </c>
      <c r="AF130" t="e">
        <f>RTD("streambase.rtd",,"STREAM:AppOut", "FIELD:ReplacedbyReqID", CONCATENATE("TUPLENUM:", ROW()-2))</f>
        <v>#N/A</v>
      </c>
      <c r="AG130" t="e">
        <f>RTD("streambase.rtd",,"STREAM:AppOut", "FIELD:LeavesQty", CONCATENATE("TUPLENUM:", ROW()-2))</f>
        <v>#N/A</v>
      </c>
      <c r="AH130" t="e">
        <f>RTD("streambase.rtd",,"STREAM:AppOut", "FIELD:Account", CONCATENATE("TUPLENUM:", ROW()-2))</f>
        <v>#N/A</v>
      </c>
      <c r="AI130" t="e">
        <f>RTD("streambase.rtd",,"STREAM:AppOut", "FIELD:TradeDate", CONCATENATE("TUPLENUM:", ROW()-2))</f>
        <v>#N/A</v>
      </c>
    </row>
    <row r="131" spans="2:35">
      <c r="I131" s="6"/>
      <c r="L131" s="6"/>
      <c r="U131" t="e">
        <f>RTD("streambase.rtd",,"STREAM:AppOut", "FIELD:AppOrdID", CONCATENATE("TUPLENUM:", ROW()-2))</f>
        <v>#N/A</v>
      </c>
      <c r="V131" t="e">
        <f>RTD("streambase.rtd",,"STREAM:AppOut", "FIELD:AppCxlRplID", CONCATENATE("TUPLENUM:", ROW()-2))</f>
        <v>#N/A</v>
      </c>
      <c r="W131" t="e">
        <f>RTD("streambase.rtd",,"STREAM:AppOut", "FIELD:Symbol", CONCATENATE("TUPLENUM:", ROW()-2))</f>
        <v>#N/A</v>
      </c>
      <c r="X131" t="e">
        <f>RTD("streambase.rtd",,"STREAM:AppOut", "FIELD:OrderStatus", CONCATENATE("TUPLENUM:", ROW()-2))</f>
        <v>#N/A</v>
      </c>
      <c r="Y131" t="e">
        <f>RTD("streambase.rtd",,"STREAM:AppOut", "FIELD:BuySell", CONCATENATE("TUPLENUM:", ROW()-2))</f>
        <v>#N/A</v>
      </c>
      <c r="Z131" t="e">
        <f>RTD("streambase.rtd",,"STREAM:AppOut", "FIELD:Price", CONCATENATE("TUPLENUM:", ROW()-2))</f>
        <v>#N/A</v>
      </c>
      <c r="AA131" t="e">
        <f>RTD("streambase.rtd",,"STREAM:AppOut", "FIELD:OrderQty", CONCATENATE("TUPLENUM:", ROW()-2))</f>
        <v>#N/A</v>
      </c>
      <c r="AB131" t="e">
        <f>RTD("streambase.rtd",,"STREAM:AppOut", "FIELD:CumQty", CONCATENATE("TUPLENUM:", ROW()-2))</f>
        <v>#N/A</v>
      </c>
      <c r="AC131" t="e">
        <f>RTD("streambase.rtd",,"STREAM:AppOut", "FIELD:AvgPx", CONCATENATE("TUPLENUM:", ROW()-2))</f>
        <v>#N/A</v>
      </c>
      <c r="AD131" t="e">
        <f>RTD("streambase.rtd",,"STREAM:AppOut", "FIELD:UpdateNumber", CONCATENATE("TUPLENUM:", ROW()-2))</f>
        <v>#N/A</v>
      </c>
      <c r="AE131" t="e">
        <f>RTD("streambase.rtd",,"STREAM:AppOut", "FIELD:UpdateTime", CONCATENATE("TUPLENUM:", ROW()-2))</f>
        <v>#N/A</v>
      </c>
      <c r="AF131" t="e">
        <f>RTD("streambase.rtd",,"STREAM:AppOut", "FIELD:ReplacedbyReqID", CONCATENATE("TUPLENUM:", ROW()-2))</f>
        <v>#N/A</v>
      </c>
      <c r="AG131" t="e">
        <f>RTD("streambase.rtd",,"STREAM:AppOut", "FIELD:LeavesQty", CONCATENATE("TUPLENUM:", ROW()-2))</f>
        <v>#N/A</v>
      </c>
      <c r="AH131" t="e">
        <f>RTD("streambase.rtd",,"STREAM:AppOut", "FIELD:Account", CONCATENATE("TUPLENUM:", ROW()-2))</f>
        <v>#N/A</v>
      </c>
      <c r="AI131" t="e">
        <f>RTD("streambase.rtd",,"STREAM:AppOut", "FIELD:TradeDate", CONCATENATE("TUPLENUM:", ROW()-2))</f>
        <v>#N/A</v>
      </c>
    </row>
    <row r="132" spans="2:35">
      <c r="I132" s="6"/>
      <c r="L132" s="6"/>
      <c r="U132" t="e">
        <f>RTD("streambase.rtd",,"STREAM:AppOut", "FIELD:AppOrdID", CONCATENATE("TUPLENUM:", ROW()-2))</f>
        <v>#N/A</v>
      </c>
      <c r="V132" t="e">
        <f>RTD("streambase.rtd",,"STREAM:AppOut", "FIELD:AppCxlRplID", CONCATENATE("TUPLENUM:", ROW()-2))</f>
        <v>#N/A</v>
      </c>
      <c r="W132" t="e">
        <f>RTD("streambase.rtd",,"STREAM:AppOut", "FIELD:Symbol", CONCATENATE("TUPLENUM:", ROW()-2))</f>
        <v>#N/A</v>
      </c>
      <c r="X132" t="e">
        <f>RTD("streambase.rtd",,"STREAM:AppOut", "FIELD:OrderStatus", CONCATENATE("TUPLENUM:", ROW()-2))</f>
        <v>#N/A</v>
      </c>
      <c r="Y132" t="e">
        <f>RTD("streambase.rtd",,"STREAM:AppOut", "FIELD:BuySell", CONCATENATE("TUPLENUM:", ROW()-2))</f>
        <v>#N/A</v>
      </c>
      <c r="Z132" t="e">
        <f>RTD("streambase.rtd",,"STREAM:AppOut", "FIELD:Price", CONCATENATE("TUPLENUM:", ROW()-2))</f>
        <v>#N/A</v>
      </c>
      <c r="AA132" t="e">
        <f>RTD("streambase.rtd",,"STREAM:AppOut", "FIELD:OrderQty", CONCATENATE("TUPLENUM:", ROW()-2))</f>
        <v>#N/A</v>
      </c>
      <c r="AB132" t="e">
        <f>RTD("streambase.rtd",,"STREAM:AppOut", "FIELD:CumQty", CONCATENATE("TUPLENUM:", ROW()-2))</f>
        <v>#N/A</v>
      </c>
      <c r="AC132" t="e">
        <f>RTD("streambase.rtd",,"STREAM:AppOut", "FIELD:AvgPx", CONCATENATE("TUPLENUM:", ROW()-2))</f>
        <v>#N/A</v>
      </c>
      <c r="AD132" t="e">
        <f>RTD("streambase.rtd",,"STREAM:AppOut", "FIELD:UpdateNumber", CONCATENATE("TUPLENUM:", ROW()-2))</f>
        <v>#N/A</v>
      </c>
      <c r="AE132" t="e">
        <f>RTD("streambase.rtd",,"STREAM:AppOut", "FIELD:UpdateTime", CONCATENATE("TUPLENUM:", ROW()-2))</f>
        <v>#N/A</v>
      </c>
      <c r="AF132" t="e">
        <f>RTD("streambase.rtd",,"STREAM:AppOut", "FIELD:ReplacedbyReqID", CONCATENATE("TUPLENUM:", ROW()-2))</f>
        <v>#N/A</v>
      </c>
      <c r="AG132" t="e">
        <f>RTD("streambase.rtd",,"STREAM:AppOut", "FIELD:LeavesQty", CONCATENATE("TUPLENUM:", ROW()-2))</f>
        <v>#N/A</v>
      </c>
      <c r="AH132" t="e">
        <f>RTD("streambase.rtd",,"STREAM:AppOut", "FIELD:Account", CONCATENATE("TUPLENUM:", ROW()-2))</f>
        <v>#N/A</v>
      </c>
      <c r="AI132" t="e">
        <f>RTD("streambase.rtd",,"STREAM:AppOut", "FIELD:TradeDate", CONCATENATE("TUPLENUM:", ROW()-2))</f>
        <v>#N/A</v>
      </c>
    </row>
    <row r="133" spans="2:35">
      <c r="I133" s="6"/>
      <c r="L133" s="6"/>
      <c r="U133" t="e">
        <f>RTD("streambase.rtd",,"STREAM:AppOut", "FIELD:AppOrdID", CONCATENATE("TUPLENUM:", ROW()-2))</f>
        <v>#N/A</v>
      </c>
      <c r="V133" t="e">
        <f>RTD("streambase.rtd",,"STREAM:AppOut", "FIELD:AppCxlRplID", CONCATENATE("TUPLENUM:", ROW()-2))</f>
        <v>#N/A</v>
      </c>
      <c r="W133" t="e">
        <f>RTD("streambase.rtd",,"STREAM:AppOut", "FIELD:Symbol", CONCATENATE("TUPLENUM:", ROW()-2))</f>
        <v>#N/A</v>
      </c>
      <c r="X133" t="e">
        <f>RTD("streambase.rtd",,"STREAM:AppOut", "FIELD:OrderStatus", CONCATENATE("TUPLENUM:", ROW()-2))</f>
        <v>#N/A</v>
      </c>
      <c r="Y133" t="e">
        <f>RTD("streambase.rtd",,"STREAM:AppOut", "FIELD:BuySell", CONCATENATE("TUPLENUM:", ROW()-2))</f>
        <v>#N/A</v>
      </c>
      <c r="Z133" t="e">
        <f>RTD("streambase.rtd",,"STREAM:AppOut", "FIELD:Price", CONCATENATE("TUPLENUM:", ROW()-2))</f>
        <v>#N/A</v>
      </c>
      <c r="AA133" t="e">
        <f>RTD("streambase.rtd",,"STREAM:AppOut", "FIELD:OrderQty", CONCATENATE("TUPLENUM:", ROW()-2))</f>
        <v>#N/A</v>
      </c>
      <c r="AB133" t="e">
        <f>RTD("streambase.rtd",,"STREAM:AppOut", "FIELD:CumQty", CONCATENATE("TUPLENUM:", ROW()-2))</f>
        <v>#N/A</v>
      </c>
      <c r="AC133" t="e">
        <f>RTD("streambase.rtd",,"STREAM:AppOut", "FIELD:AvgPx", CONCATENATE("TUPLENUM:", ROW()-2))</f>
        <v>#N/A</v>
      </c>
      <c r="AD133" t="e">
        <f>RTD("streambase.rtd",,"STREAM:AppOut", "FIELD:UpdateNumber", CONCATENATE("TUPLENUM:", ROW()-2))</f>
        <v>#N/A</v>
      </c>
      <c r="AE133" t="e">
        <f>RTD("streambase.rtd",,"STREAM:AppOut", "FIELD:UpdateTime", CONCATENATE("TUPLENUM:", ROW()-2))</f>
        <v>#N/A</v>
      </c>
      <c r="AF133" t="e">
        <f>RTD("streambase.rtd",,"STREAM:AppOut", "FIELD:ReplacedbyReqID", CONCATENATE("TUPLENUM:", ROW()-2))</f>
        <v>#N/A</v>
      </c>
      <c r="AG133" t="e">
        <f>RTD("streambase.rtd",,"STREAM:AppOut", "FIELD:LeavesQty", CONCATENATE("TUPLENUM:", ROW()-2))</f>
        <v>#N/A</v>
      </c>
      <c r="AH133" t="e">
        <f>RTD("streambase.rtd",,"STREAM:AppOut", "FIELD:Account", CONCATENATE("TUPLENUM:", ROW()-2))</f>
        <v>#N/A</v>
      </c>
      <c r="AI133" t="e">
        <f>RTD("streambase.rtd",,"STREAM:AppOut", "FIELD:TradeDate", CONCATENATE("TUPLENUM:", ROW()-2))</f>
        <v>#N/A</v>
      </c>
    </row>
    <row r="134" spans="2:35">
      <c r="I134" s="6"/>
      <c r="L134" s="6"/>
      <c r="U134" t="e">
        <f>RTD("streambase.rtd",,"STREAM:AppOut", "FIELD:AppOrdID", CONCATENATE("TUPLENUM:", ROW()-2))</f>
        <v>#N/A</v>
      </c>
      <c r="V134" t="e">
        <f>RTD("streambase.rtd",,"STREAM:AppOut", "FIELD:AppCxlRplID", CONCATENATE("TUPLENUM:", ROW()-2))</f>
        <v>#N/A</v>
      </c>
      <c r="W134" t="e">
        <f>RTD("streambase.rtd",,"STREAM:AppOut", "FIELD:Symbol", CONCATENATE("TUPLENUM:", ROW()-2))</f>
        <v>#N/A</v>
      </c>
      <c r="X134" t="e">
        <f>RTD("streambase.rtd",,"STREAM:AppOut", "FIELD:OrderStatus", CONCATENATE("TUPLENUM:", ROW()-2))</f>
        <v>#N/A</v>
      </c>
      <c r="Y134" t="e">
        <f>RTD("streambase.rtd",,"STREAM:AppOut", "FIELD:BuySell", CONCATENATE("TUPLENUM:", ROW()-2))</f>
        <v>#N/A</v>
      </c>
      <c r="Z134" t="e">
        <f>RTD("streambase.rtd",,"STREAM:AppOut", "FIELD:Price", CONCATENATE("TUPLENUM:", ROW()-2))</f>
        <v>#N/A</v>
      </c>
      <c r="AA134" t="e">
        <f>RTD("streambase.rtd",,"STREAM:AppOut", "FIELD:OrderQty", CONCATENATE("TUPLENUM:", ROW()-2))</f>
        <v>#N/A</v>
      </c>
      <c r="AB134" t="e">
        <f>RTD("streambase.rtd",,"STREAM:AppOut", "FIELD:CumQty", CONCATENATE("TUPLENUM:", ROW()-2))</f>
        <v>#N/A</v>
      </c>
      <c r="AC134" t="e">
        <f>RTD("streambase.rtd",,"STREAM:AppOut", "FIELD:AvgPx", CONCATENATE("TUPLENUM:", ROW()-2))</f>
        <v>#N/A</v>
      </c>
      <c r="AD134" t="e">
        <f>RTD("streambase.rtd",,"STREAM:AppOut", "FIELD:UpdateNumber", CONCATENATE("TUPLENUM:", ROW()-2))</f>
        <v>#N/A</v>
      </c>
      <c r="AE134" t="e">
        <f>RTD("streambase.rtd",,"STREAM:AppOut", "FIELD:UpdateTime", CONCATENATE("TUPLENUM:", ROW()-2))</f>
        <v>#N/A</v>
      </c>
      <c r="AF134" t="e">
        <f>RTD("streambase.rtd",,"STREAM:AppOut", "FIELD:ReplacedbyReqID", CONCATENATE("TUPLENUM:", ROW()-2))</f>
        <v>#N/A</v>
      </c>
      <c r="AG134" t="e">
        <f>RTD("streambase.rtd",,"STREAM:AppOut", "FIELD:LeavesQty", CONCATENATE("TUPLENUM:", ROW()-2))</f>
        <v>#N/A</v>
      </c>
      <c r="AH134" t="e">
        <f>RTD("streambase.rtd",,"STREAM:AppOut", "FIELD:Account", CONCATENATE("TUPLENUM:", ROW()-2))</f>
        <v>#N/A</v>
      </c>
      <c r="AI134" t="e">
        <f>RTD("streambase.rtd",,"STREAM:AppOut", "FIELD:TradeDate", CONCATENATE("TUPLENUM:", ROW()-2))</f>
        <v>#N/A</v>
      </c>
    </row>
    <row r="135" spans="2:35">
      <c r="I135" s="6"/>
      <c r="U135" t="e">
        <f>RTD("streambase.rtd",,"STREAM:AppOut", "FIELD:AppOrdID", CONCATENATE("TUPLENUM:", ROW()-2))</f>
        <v>#N/A</v>
      </c>
      <c r="V135" t="e">
        <f>RTD("streambase.rtd",,"STREAM:AppOut", "FIELD:AppCxlRplID", CONCATENATE("TUPLENUM:", ROW()-2))</f>
        <v>#N/A</v>
      </c>
      <c r="W135" t="e">
        <f>RTD("streambase.rtd",,"STREAM:AppOut", "FIELD:Symbol", CONCATENATE("TUPLENUM:", ROW()-2))</f>
        <v>#N/A</v>
      </c>
      <c r="X135" t="e">
        <f>RTD("streambase.rtd",,"STREAM:AppOut", "FIELD:OrderStatus", CONCATENATE("TUPLENUM:", ROW()-2))</f>
        <v>#N/A</v>
      </c>
      <c r="Y135" t="e">
        <f>RTD("streambase.rtd",,"STREAM:AppOut", "FIELD:BuySell", CONCATENATE("TUPLENUM:", ROW()-2))</f>
        <v>#N/A</v>
      </c>
      <c r="Z135" t="e">
        <f>RTD("streambase.rtd",,"STREAM:AppOut", "FIELD:Price", CONCATENATE("TUPLENUM:", ROW()-2))</f>
        <v>#N/A</v>
      </c>
      <c r="AA135" t="e">
        <f>RTD("streambase.rtd",,"STREAM:AppOut", "FIELD:OrderQty", CONCATENATE("TUPLENUM:", ROW()-2))</f>
        <v>#N/A</v>
      </c>
      <c r="AB135" t="e">
        <f>RTD("streambase.rtd",,"STREAM:AppOut", "FIELD:CumQty", CONCATENATE("TUPLENUM:", ROW()-2))</f>
        <v>#N/A</v>
      </c>
      <c r="AC135" t="e">
        <f>RTD("streambase.rtd",,"STREAM:AppOut", "FIELD:AvgPx", CONCATENATE("TUPLENUM:", ROW()-2))</f>
        <v>#N/A</v>
      </c>
      <c r="AD135" t="e">
        <f>RTD("streambase.rtd",,"STREAM:AppOut", "FIELD:UpdateNumber", CONCATENATE("TUPLENUM:", ROW()-2))</f>
        <v>#N/A</v>
      </c>
      <c r="AE135" t="e">
        <f>RTD("streambase.rtd",,"STREAM:AppOut", "FIELD:UpdateTime", CONCATENATE("TUPLENUM:", ROW()-2))</f>
        <v>#N/A</v>
      </c>
      <c r="AF135" t="e">
        <f>RTD("streambase.rtd",,"STREAM:AppOut", "FIELD:ReplacedbyReqID", CONCATENATE("TUPLENUM:", ROW()-2))</f>
        <v>#N/A</v>
      </c>
      <c r="AG135" t="e">
        <f>RTD("streambase.rtd",,"STREAM:AppOut", "FIELD:LeavesQty", CONCATENATE("TUPLENUM:", ROW()-2))</f>
        <v>#N/A</v>
      </c>
      <c r="AH135" t="e">
        <f>RTD("streambase.rtd",,"STREAM:AppOut", "FIELD:Account", CONCATENATE("TUPLENUM:", ROW()-2))</f>
        <v>#N/A</v>
      </c>
      <c r="AI135" t="e">
        <f>RTD("streambase.rtd",,"STREAM:AppOut", "FIELD:TradeDate", CONCATENATE("TUPLENUM:", ROW()-2))</f>
        <v>#N/A</v>
      </c>
    </row>
    <row r="136" spans="2:35">
      <c r="I136" s="6"/>
      <c r="U136" t="e">
        <f>RTD("streambase.rtd",,"STREAM:AppOut", "FIELD:AppOrdID", CONCATENATE("TUPLENUM:", ROW()-2))</f>
        <v>#N/A</v>
      </c>
      <c r="V136" t="e">
        <f>RTD("streambase.rtd",,"STREAM:AppOut", "FIELD:AppCxlRplID", CONCATENATE("TUPLENUM:", ROW()-2))</f>
        <v>#N/A</v>
      </c>
      <c r="W136" t="e">
        <f>RTD("streambase.rtd",,"STREAM:AppOut", "FIELD:Symbol", CONCATENATE("TUPLENUM:", ROW()-2))</f>
        <v>#N/A</v>
      </c>
      <c r="X136" t="e">
        <f>RTD("streambase.rtd",,"STREAM:AppOut", "FIELD:OrderStatus", CONCATENATE("TUPLENUM:", ROW()-2))</f>
        <v>#N/A</v>
      </c>
      <c r="Y136" t="e">
        <f>RTD("streambase.rtd",,"STREAM:AppOut", "FIELD:BuySell", CONCATENATE("TUPLENUM:", ROW()-2))</f>
        <v>#N/A</v>
      </c>
      <c r="Z136" t="e">
        <f>RTD("streambase.rtd",,"STREAM:AppOut", "FIELD:Price", CONCATENATE("TUPLENUM:", ROW()-2))</f>
        <v>#N/A</v>
      </c>
      <c r="AA136" t="e">
        <f>RTD("streambase.rtd",,"STREAM:AppOut", "FIELD:OrderQty", CONCATENATE("TUPLENUM:", ROW()-2))</f>
        <v>#N/A</v>
      </c>
      <c r="AB136" t="e">
        <f>RTD("streambase.rtd",,"STREAM:AppOut", "FIELD:CumQty", CONCATENATE("TUPLENUM:", ROW()-2))</f>
        <v>#N/A</v>
      </c>
      <c r="AC136" t="e">
        <f>RTD("streambase.rtd",,"STREAM:AppOut", "FIELD:AvgPx", CONCATENATE("TUPLENUM:", ROW()-2))</f>
        <v>#N/A</v>
      </c>
      <c r="AD136" t="e">
        <f>RTD("streambase.rtd",,"STREAM:AppOut", "FIELD:UpdateNumber", CONCATENATE("TUPLENUM:", ROW()-2))</f>
        <v>#N/A</v>
      </c>
      <c r="AE136" t="e">
        <f>RTD("streambase.rtd",,"STREAM:AppOut", "FIELD:UpdateTime", CONCATENATE("TUPLENUM:", ROW()-2))</f>
        <v>#N/A</v>
      </c>
      <c r="AF136" t="e">
        <f>RTD("streambase.rtd",,"STREAM:AppOut", "FIELD:ReplacedbyReqID", CONCATENATE("TUPLENUM:", ROW()-2))</f>
        <v>#N/A</v>
      </c>
      <c r="AG136" t="e">
        <f>RTD("streambase.rtd",,"STREAM:AppOut", "FIELD:LeavesQty", CONCATENATE("TUPLENUM:", ROW()-2))</f>
        <v>#N/A</v>
      </c>
      <c r="AH136" t="e">
        <f>RTD("streambase.rtd",,"STREAM:AppOut", "FIELD:Account", CONCATENATE("TUPLENUM:", ROW()-2))</f>
        <v>#N/A</v>
      </c>
      <c r="AI136" t="e">
        <f>RTD("streambase.rtd",,"STREAM:AppOut", "FIELD:TradeDate", CONCATENATE("TUPLENUM:", ROW()-2))</f>
        <v>#N/A</v>
      </c>
    </row>
    <row r="137" spans="2:35">
      <c r="I137" s="6"/>
      <c r="U137" t="e">
        <f>RTD("streambase.rtd",,"STREAM:AppOut", "FIELD:AppOrdID", CONCATENATE("TUPLENUM:", ROW()-2))</f>
        <v>#N/A</v>
      </c>
      <c r="V137" t="e">
        <f>RTD("streambase.rtd",,"STREAM:AppOut", "FIELD:AppCxlRplID", CONCATENATE("TUPLENUM:", ROW()-2))</f>
        <v>#N/A</v>
      </c>
      <c r="W137" t="e">
        <f>RTD("streambase.rtd",,"STREAM:AppOut", "FIELD:Symbol", CONCATENATE("TUPLENUM:", ROW()-2))</f>
        <v>#N/A</v>
      </c>
      <c r="X137" t="e">
        <f>RTD("streambase.rtd",,"STREAM:AppOut", "FIELD:OrderStatus", CONCATENATE("TUPLENUM:", ROW()-2))</f>
        <v>#N/A</v>
      </c>
      <c r="Y137" t="e">
        <f>RTD("streambase.rtd",,"STREAM:AppOut", "FIELD:BuySell", CONCATENATE("TUPLENUM:", ROW()-2))</f>
        <v>#N/A</v>
      </c>
      <c r="Z137" t="e">
        <f>RTD("streambase.rtd",,"STREAM:AppOut", "FIELD:Price", CONCATENATE("TUPLENUM:", ROW()-2))</f>
        <v>#N/A</v>
      </c>
      <c r="AA137" t="e">
        <f>RTD("streambase.rtd",,"STREAM:AppOut", "FIELD:OrderQty", CONCATENATE("TUPLENUM:", ROW()-2))</f>
        <v>#N/A</v>
      </c>
      <c r="AB137" t="e">
        <f>RTD("streambase.rtd",,"STREAM:AppOut", "FIELD:CumQty", CONCATENATE("TUPLENUM:", ROW()-2))</f>
        <v>#N/A</v>
      </c>
      <c r="AC137" t="e">
        <f>RTD("streambase.rtd",,"STREAM:AppOut", "FIELD:AvgPx", CONCATENATE("TUPLENUM:", ROW()-2))</f>
        <v>#N/A</v>
      </c>
      <c r="AD137" t="e">
        <f>RTD("streambase.rtd",,"STREAM:AppOut", "FIELD:UpdateNumber", CONCATENATE("TUPLENUM:", ROW()-2))</f>
        <v>#N/A</v>
      </c>
      <c r="AE137" t="e">
        <f>RTD("streambase.rtd",,"STREAM:AppOut", "FIELD:UpdateTime", CONCATENATE("TUPLENUM:", ROW()-2))</f>
        <v>#N/A</v>
      </c>
      <c r="AF137" t="e">
        <f>RTD("streambase.rtd",,"STREAM:AppOut", "FIELD:ReplacedbyReqID", CONCATENATE("TUPLENUM:", ROW()-2))</f>
        <v>#N/A</v>
      </c>
      <c r="AG137" t="e">
        <f>RTD("streambase.rtd",,"STREAM:AppOut", "FIELD:LeavesQty", CONCATENATE("TUPLENUM:", ROW()-2))</f>
        <v>#N/A</v>
      </c>
      <c r="AH137" t="e">
        <f>RTD("streambase.rtd",,"STREAM:AppOut", "FIELD:Account", CONCATENATE("TUPLENUM:", ROW()-2))</f>
        <v>#N/A</v>
      </c>
      <c r="AI137" t="e">
        <f>RTD("streambase.rtd",,"STREAM:AppOut", "FIELD:TradeDate", CONCATENATE("TUPLENUM:", ROW()-2))</f>
        <v>#N/A</v>
      </c>
    </row>
    <row r="138" spans="2:35">
      <c r="I138" s="6"/>
      <c r="U138" t="e">
        <f>RTD("streambase.rtd",,"STREAM:AppOut", "FIELD:AppOrdID", CONCATENATE("TUPLENUM:", ROW()-2))</f>
        <v>#N/A</v>
      </c>
      <c r="V138" t="e">
        <f>RTD("streambase.rtd",,"STREAM:AppOut", "FIELD:AppCxlRplID", CONCATENATE("TUPLENUM:", ROW()-2))</f>
        <v>#N/A</v>
      </c>
      <c r="W138" t="e">
        <f>RTD("streambase.rtd",,"STREAM:AppOut", "FIELD:Symbol", CONCATENATE("TUPLENUM:", ROW()-2))</f>
        <v>#N/A</v>
      </c>
      <c r="X138" t="e">
        <f>RTD("streambase.rtd",,"STREAM:AppOut", "FIELD:OrderStatus", CONCATENATE("TUPLENUM:", ROW()-2))</f>
        <v>#N/A</v>
      </c>
      <c r="Y138" t="e">
        <f>RTD("streambase.rtd",,"STREAM:AppOut", "FIELD:BuySell", CONCATENATE("TUPLENUM:", ROW()-2))</f>
        <v>#N/A</v>
      </c>
      <c r="Z138" t="e">
        <f>RTD("streambase.rtd",,"STREAM:AppOut", "FIELD:Price", CONCATENATE("TUPLENUM:", ROW()-2))</f>
        <v>#N/A</v>
      </c>
      <c r="AA138" t="e">
        <f>RTD("streambase.rtd",,"STREAM:AppOut", "FIELD:OrderQty", CONCATENATE("TUPLENUM:", ROW()-2))</f>
        <v>#N/A</v>
      </c>
      <c r="AB138" t="e">
        <f>RTD("streambase.rtd",,"STREAM:AppOut", "FIELD:CumQty", CONCATENATE("TUPLENUM:", ROW()-2))</f>
        <v>#N/A</v>
      </c>
      <c r="AC138" t="e">
        <f>RTD("streambase.rtd",,"STREAM:AppOut", "FIELD:AvgPx", CONCATENATE("TUPLENUM:", ROW()-2))</f>
        <v>#N/A</v>
      </c>
      <c r="AD138" t="e">
        <f>RTD("streambase.rtd",,"STREAM:AppOut", "FIELD:UpdateNumber", CONCATENATE("TUPLENUM:", ROW()-2))</f>
        <v>#N/A</v>
      </c>
      <c r="AE138" t="e">
        <f>RTD("streambase.rtd",,"STREAM:AppOut", "FIELD:UpdateTime", CONCATENATE("TUPLENUM:", ROW()-2))</f>
        <v>#N/A</v>
      </c>
      <c r="AF138" t="e">
        <f>RTD("streambase.rtd",,"STREAM:AppOut", "FIELD:ReplacedbyReqID", CONCATENATE("TUPLENUM:", ROW()-2))</f>
        <v>#N/A</v>
      </c>
      <c r="AG138" t="e">
        <f>RTD("streambase.rtd",,"STREAM:AppOut", "FIELD:LeavesQty", CONCATENATE("TUPLENUM:", ROW()-2))</f>
        <v>#N/A</v>
      </c>
      <c r="AH138" t="e">
        <f>RTD("streambase.rtd",,"STREAM:AppOut", "FIELD:Account", CONCATENATE("TUPLENUM:", ROW()-2))</f>
        <v>#N/A</v>
      </c>
      <c r="AI138" t="e">
        <f>RTD("streambase.rtd",,"STREAM:AppOut", "FIELD:TradeDate", CONCATENATE("TUPLENUM:", ROW()-2))</f>
        <v>#N/A</v>
      </c>
    </row>
    <row r="139" spans="2:35">
      <c r="I139" s="6"/>
      <c r="U139" t="e">
        <f>RTD("streambase.rtd",,"STREAM:AppOut", "FIELD:AppOrdID", CONCATENATE("TUPLENUM:", ROW()-2))</f>
        <v>#N/A</v>
      </c>
      <c r="V139" t="e">
        <f>RTD("streambase.rtd",,"STREAM:AppOut", "FIELD:AppCxlRplID", CONCATENATE("TUPLENUM:", ROW()-2))</f>
        <v>#N/A</v>
      </c>
      <c r="W139" t="e">
        <f>RTD("streambase.rtd",,"STREAM:AppOut", "FIELD:Symbol", CONCATENATE("TUPLENUM:", ROW()-2))</f>
        <v>#N/A</v>
      </c>
      <c r="X139" t="e">
        <f>RTD("streambase.rtd",,"STREAM:AppOut", "FIELD:OrderStatus", CONCATENATE("TUPLENUM:", ROW()-2))</f>
        <v>#N/A</v>
      </c>
      <c r="Y139" t="e">
        <f>RTD("streambase.rtd",,"STREAM:AppOut", "FIELD:BuySell", CONCATENATE("TUPLENUM:", ROW()-2))</f>
        <v>#N/A</v>
      </c>
      <c r="Z139" t="e">
        <f>RTD("streambase.rtd",,"STREAM:AppOut", "FIELD:Price", CONCATENATE("TUPLENUM:", ROW()-2))</f>
        <v>#N/A</v>
      </c>
      <c r="AA139" t="e">
        <f>RTD("streambase.rtd",,"STREAM:AppOut", "FIELD:OrderQty", CONCATENATE("TUPLENUM:", ROW()-2))</f>
        <v>#N/A</v>
      </c>
      <c r="AB139" t="e">
        <f>RTD("streambase.rtd",,"STREAM:AppOut", "FIELD:CumQty", CONCATENATE("TUPLENUM:", ROW()-2))</f>
        <v>#N/A</v>
      </c>
      <c r="AC139" t="e">
        <f>RTD("streambase.rtd",,"STREAM:AppOut", "FIELD:AvgPx", CONCATENATE("TUPLENUM:", ROW()-2))</f>
        <v>#N/A</v>
      </c>
      <c r="AD139" t="e">
        <f>RTD("streambase.rtd",,"STREAM:AppOut", "FIELD:UpdateNumber", CONCATENATE("TUPLENUM:", ROW()-2))</f>
        <v>#N/A</v>
      </c>
      <c r="AE139" t="e">
        <f>RTD("streambase.rtd",,"STREAM:AppOut", "FIELD:UpdateTime", CONCATENATE("TUPLENUM:", ROW()-2))</f>
        <v>#N/A</v>
      </c>
      <c r="AF139" t="e">
        <f>RTD("streambase.rtd",,"STREAM:AppOut", "FIELD:ReplacedbyReqID", CONCATENATE("TUPLENUM:", ROW()-2))</f>
        <v>#N/A</v>
      </c>
      <c r="AG139" t="e">
        <f>RTD("streambase.rtd",,"STREAM:AppOut", "FIELD:LeavesQty", CONCATENATE("TUPLENUM:", ROW()-2))</f>
        <v>#N/A</v>
      </c>
      <c r="AH139" t="e">
        <f>RTD("streambase.rtd",,"STREAM:AppOut", "FIELD:Account", CONCATENATE("TUPLENUM:", ROW()-2))</f>
        <v>#N/A</v>
      </c>
      <c r="AI139" t="e">
        <f>RTD("streambase.rtd",,"STREAM:AppOut", "FIELD:TradeDate", CONCATENATE("TUPLENUM:", ROW()-2))</f>
        <v>#N/A</v>
      </c>
    </row>
    <row r="140" spans="2:35">
      <c r="I140" s="6"/>
      <c r="U140" t="e">
        <f>RTD("streambase.rtd",,"STREAM:AppOut", "FIELD:AppOrdID", CONCATENATE("TUPLENUM:", ROW()-2))</f>
        <v>#N/A</v>
      </c>
      <c r="V140" t="e">
        <f>RTD("streambase.rtd",,"STREAM:AppOut", "FIELD:AppCxlRplID", CONCATENATE("TUPLENUM:", ROW()-2))</f>
        <v>#N/A</v>
      </c>
      <c r="W140" t="e">
        <f>RTD("streambase.rtd",,"STREAM:AppOut", "FIELD:Symbol", CONCATENATE("TUPLENUM:", ROW()-2))</f>
        <v>#N/A</v>
      </c>
      <c r="X140" t="e">
        <f>RTD("streambase.rtd",,"STREAM:AppOut", "FIELD:OrderStatus", CONCATENATE("TUPLENUM:", ROW()-2))</f>
        <v>#N/A</v>
      </c>
      <c r="Y140" t="e">
        <f>RTD("streambase.rtd",,"STREAM:AppOut", "FIELD:BuySell", CONCATENATE("TUPLENUM:", ROW()-2))</f>
        <v>#N/A</v>
      </c>
      <c r="Z140" t="e">
        <f>RTD("streambase.rtd",,"STREAM:AppOut", "FIELD:Price", CONCATENATE("TUPLENUM:", ROW()-2))</f>
        <v>#N/A</v>
      </c>
      <c r="AA140" t="e">
        <f>RTD("streambase.rtd",,"STREAM:AppOut", "FIELD:OrderQty", CONCATENATE("TUPLENUM:", ROW()-2))</f>
        <v>#N/A</v>
      </c>
      <c r="AB140" t="e">
        <f>RTD("streambase.rtd",,"STREAM:AppOut", "FIELD:CumQty", CONCATENATE("TUPLENUM:", ROW()-2))</f>
        <v>#N/A</v>
      </c>
      <c r="AC140" t="e">
        <f>RTD("streambase.rtd",,"STREAM:AppOut", "FIELD:AvgPx", CONCATENATE("TUPLENUM:", ROW()-2))</f>
        <v>#N/A</v>
      </c>
      <c r="AD140" t="e">
        <f>RTD("streambase.rtd",,"STREAM:AppOut", "FIELD:UpdateNumber", CONCATENATE("TUPLENUM:", ROW()-2))</f>
        <v>#N/A</v>
      </c>
      <c r="AE140" t="e">
        <f>RTD("streambase.rtd",,"STREAM:AppOut", "FIELD:UpdateTime", CONCATENATE("TUPLENUM:", ROW()-2))</f>
        <v>#N/A</v>
      </c>
      <c r="AF140" t="e">
        <f>RTD("streambase.rtd",,"STREAM:AppOut", "FIELD:ReplacedbyReqID", CONCATENATE("TUPLENUM:", ROW()-2))</f>
        <v>#N/A</v>
      </c>
      <c r="AG140" t="e">
        <f>RTD("streambase.rtd",,"STREAM:AppOut", "FIELD:LeavesQty", CONCATENATE("TUPLENUM:", ROW()-2))</f>
        <v>#N/A</v>
      </c>
      <c r="AH140" t="e">
        <f>RTD("streambase.rtd",,"STREAM:AppOut", "FIELD:Account", CONCATENATE("TUPLENUM:", ROW()-2))</f>
        <v>#N/A</v>
      </c>
      <c r="AI140" t="e">
        <f>RTD("streambase.rtd",,"STREAM:AppOut", "FIELD:TradeDate", CONCATENATE("TUPLENUM:", ROW()-2))</f>
        <v>#N/A</v>
      </c>
    </row>
    <row r="141" spans="2:35">
      <c r="I141" s="6"/>
      <c r="U141" t="e">
        <f>RTD("streambase.rtd",,"STREAM:AppOut", "FIELD:AppOrdID", CONCATENATE("TUPLENUM:", ROW()-2))</f>
        <v>#N/A</v>
      </c>
      <c r="V141" t="e">
        <f>RTD("streambase.rtd",,"STREAM:AppOut", "FIELD:AppCxlRplID", CONCATENATE("TUPLENUM:", ROW()-2))</f>
        <v>#N/A</v>
      </c>
      <c r="W141" t="e">
        <f>RTD("streambase.rtd",,"STREAM:AppOut", "FIELD:Symbol", CONCATENATE("TUPLENUM:", ROW()-2))</f>
        <v>#N/A</v>
      </c>
      <c r="X141" t="e">
        <f>RTD("streambase.rtd",,"STREAM:AppOut", "FIELD:OrderStatus", CONCATENATE("TUPLENUM:", ROW()-2))</f>
        <v>#N/A</v>
      </c>
      <c r="Y141" t="e">
        <f>RTD("streambase.rtd",,"STREAM:AppOut", "FIELD:BuySell", CONCATENATE("TUPLENUM:", ROW()-2))</f>
        <v>#N/A</v>
      </c>
      <c r="Z141" t="e">
        <f>RTD("streambase.rtd",,"STREAM:AppOut", "FIELD:Price", CONCATENATE("TUPLENUM:", ROW()-2))</f>
        <v>#N/A</v>
      </c>
      <c r="AA141" t="e">
        <f>RTD("streambase.rtd",,"STREAM:AppOut", "FIELD:OrderQty", CONCATENATE("TUPLENUM:", ROW()-2))</f>
        <v>#N/A</v>
      </c>
      <c r="AB141" t="e">
        <f>RTD("streambase.rtd",,"STREAM:AppOut", "FIELD:CumQty", CONCATENATE("TUPLENUM:", ROW()-2))</f>
        <v>#N/A</v>
      </c>
      <c r="AC141" t="e">
        <f>RTD("streambase.rtd",,"STREAM:AppOut", "FIELD:AvgPx", CONCATENATE("TUPLENUM:", ROW()-2))</f>
        <v>#N/A</v>
      </c>
      <c r="AD141" t="e">
        <f>RTD("streambase.rtd",,"STREAM:AppOut", "FIELD:UpdateNumber", CONCATENATE("TUPLENUM:", ROW()-2))</f>
        <v>#N/A</v>
      </c>
      <c r="AE141" t="e">
        <f>RTD("streambase.rtd",,"STREAM:AppOut", "FIELD:UpdateTime", CONCATENATE("TUPLENUM:", ROW()-2))</f>
        <v>#N/A</v>
      </c>
      <c r="AF141" t="e">
        <f>RTD("streambase.rtd",,"STREAM:AppOut", "FIELD:ReplacedbyReqID", CONCATENATE("TUPLENUM:", ROW()-2))</f>
        <v>#N/A</v>
      </c>
      <c r="AG141" t="e">
        <f>RTD("streambase.rtd",,"STREAM:AppOut", "FIELD:LeavesQty", CONCATENATE("TUPLENUM:", ROW()-2))</f>
        <v>#N/A</v>
      </c>
      <c r="AH141" t="e">
        <f>RTD("streambase.rtd",,"STREAM:AppOut", "FIELD:Account", CONCATENATE("TUPLENUM:", ROW()-2))</f>
        <v>#N/A</v>
      </c>
      <c r="AI141" t="e">
        <f>RTD("streambase.rtd",,"STREAM:AppOut", "FIELD:TradeDate", CONCATENATE("TUPLENUM:", ROW()-2))</f>
        <v>#N/A</v>
      </c>
    </row>
    <row r="142" spans="2:35">
      <c r="I142" s="6"/>
      <c r="U142" t="e">
        <f>RTD("streambase.rtd",,"STREAM:AppOut", "FIELD:AppOrdID", CONCATENATE("TUPLENUM:", ROW()-2))</f>
        <v>#N/A</v>
      </c>
      <c r="V142" t="e">
        <f>RTD("streambase.rtd",,"STREAM:AppOut", "FIELD:AppCxlRplID", CONCATENATE("TUPLENUM:", ROW()-2))</f>
        <v>#N/A</v>
      </c>
      <c r="W142" t="e">
        <f>RTD("streambase.rtd",,"STREAM:AppOut", "FIELD:Symbol", CONCATENATE("TUPLENUM:", ROW()-2))</f>
        <v>#N/A</v>
      </c>
      <c r="X142" t="e">
        <f>RTD("streambase.rtd",,"STREAM:AppOut", "FIELD:OrderStatus", CONCATENATE("TUPLENUM:", ROW()-2))</f>
        <v>#N/A</v>
      </c>
      <c r="Y142" t="e">
        <f>RTD("streambase.rtd",,"STREAM:AppOut", "FIELD:BuySell", CONCATENATE("TUPLENUM:", ROW()-2))</f>
        <v>#N/A</v>
      </c>
      <c r="Z142" t="e">
        <f>RTD("streambase.rtd",,"STREAM:AppOut", "FIELD:Price", CONCATENATE("TUPLENUM:", ROW()-2))</f>
        <v>#N/A</v>
      </c>
      <c r="AA142" t="e">
        <f>RTD("streambase.rtd",,"STREAM:AppOut", "FIELD:OrderQty", CONCATENATE("TUPLENUM:", ROW()-2))</f>
        <v>#N/A</v>
      </c>
      <c r="AB142" t="e">
        <f>RTD("streambase.rtd",,"STREAM:AppOut", "FIELD:CumQty", CONCATENATE("TUPLENUM:", ROW()-2))</f>
        <v>#N/A</v>
      </c>
      <c r="AC142" t="e">
        <f>RTD("streambase.rtd",,"STREAM:AppOut", "FIELD:AvgPx", CONCATENATE("TUPLENUM:", ROW()-2))</f>
        <v>#N/A</v>
      </c>
      <c r="AD142" t="e">
        <f>RTD("streambase.rtd",,"STREAM:AppOut", "FIELD:UpdateNumber", CONCATENATE("TUPLENUM:", ROW()-2))</f>
        <v>#N/A</v>
      </c>
      <c r="AE142" t="e">
        <f>RTD("streambase.rtd",,"STREAM:AppOut", "FIELD:UpdateTime", CONCATENATE("TUPLENUM:", ROW()-2))</f>
        <v>#N/A</v>
      </c>
      <c r="AF142" t="e">
        <f>RTD("streambase.rtd",,"STREAM:AppOut", "FIELD:ReplacedbyReqID", CONCATENATE("TUPLENUM:", ROW()-2))</f>
        <v>#N/A</v>
      </c>
      <c r="AG142" t="e">
        <f>RTD("streambase.rtd",,"STREAM:AppOut", "FIELD:LeavesQty", CONCATENATE("TUPLENUM:", ROW()-2))</f>
        <v>#N/A</v>
      </c>
      <c r="AH142" t="e">
        <f>RTD("streambase.rtd",,"STREAM:AppOut", "FIELD:Account", CONCATENATE("TUPLENUM:", ROW()-2))</f>
        <v>#N/A</v>
      </c>
      <c r="AI142" t="e">
        <f>RTD("streambase.rtd",,"STREAM:AppOut", "FIELD:TradeDate", CONCATENATE("TUPLENUM:", ROW()-2))</f>
        <v>#N/A</v>
      </c>
    </row>
    <row r="143" spans="2:35">
      <c r="I143" s="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3073" r:id="rId3" name="CommandButton1"/>
    <control shapeId="3074" r:id="rId4" name="CommandButton2"/>
    <control shapeId="3076" r:id="rId5" name="CommandButton3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O3:V289"/>
  <sheetViews>
    <sheetView topLeftCell="E1" workbookViewId="0">
      <selection activeCell="R14" sqref="R14"/>
    </sheetView>
  </sheetViews>
  <sheetFormatPr defaultRowHeight="12.75"/>
  <cols>
    <col min="18" max="18" width="16.7109375" bestFit="1" customWidth="1"/>
    <col min="21" max="21" width="21.85546875" bestFit="1" customWidth="1"/>
    <col min="22" max="22" width="4" bestFit="1" customWidth="1"/>
  </cols>
  <sheetData>
    <row r="3" spans="15:22">
      <c r="O3" s="13" t="s">
        <v>292</v>
      </c>
      <c r="P3" s="13">
        <v>38</v>
      </c>
      <c r="R3" t="s">
        <v>29</v>
      </c>
      <c r="S3">
        <v>1</v>
      </c>
      <c r="U3" t="s">
        <v>48</v>
      </c>
      <c r="V3">
        <v>212</v>
      </c>
    </row>
    <row r="4" spans="15:22">
      <c r="O4" s="13" t="s">
        <v>291</v>
      </c>
      <c r="P4" s="13">
        <v>18</v>
      </c>
      <c r="R4" t="s">
        <v>30</v>
      </c>
      <c r="S4">
        <v>2</v>
      </c>
      <c r="U4" t="s">
        <v>49</v>
      </c>
      <c r="V4">
        <v>213</v>
      </c>
    </row>
    <row r="5" spans="15:22">
      <c r="O5" s="13" t="s">
        <v>293</v>
      </c>
      <c r="P5" s="13">
        <v>10</v>
      </c>
      <c r="R5" t="s">
        <v>31</v>
      </c>
      <c r="S5">
        <v>3</v>
      </c>
      <c r="U5" t="s">
        <v>50</v>
      </c>
      <c r="V5">
        <v>215</v>
      </c>
    </row>
    <row r="6" spans="15:22">
      <c r="O6" s="13" t="s">
        <v>294</v>
      </c>
      <c r="P6" s="13">
        <v>43</v>
      </c>
      <c r="R6" t="s">
        <v>32</v>
      </c>
      <c r="S6">
        <v>4</v>
      </c>
      <c r="U6" t="s">
        <v>51</v>
      </c>
      <c r="V6">
        <v>214</v>
      </c>
    </row>
    <row r="7" spans="15:22">
      <c r="O7" s="13" t="s">
        <v>295</v>
      </c>
      <c r="P7" s="13">
        <v>48</v>
      </c>
      <c r="R7" t="s">
        <v>33</v>
      </c>
      <c r="S7">
        <v>5</v>
      </c>
      <c r="U7" t="s">
        <v>52</v>
      </c>
      <c r="V7">
        <v>211</v>
      </c>
    </row>
    <row r="8" spans="15:22">
      <c r="R8" t="s">
        <v>34</v>
      </c>
      <c r="S8">
        <v>6</v>
      </c>
      <c r="U8" t="s">
        <v>53</v>
      </c>
      <c r="V8">
        <v>210</v>
      </c>
    </row>
    <row r="9" spans="15:22">
      <c r="R9" t="s">
        <v>35</v>
      </c>
      <c r="S9">
        <v>7</v>
      </c>
      <c r="U9" t="s">
        <v>54</v>
      </c>
      <c r="V9">
        <v>209</v>
      </c>
    </row>
    <row r="10" spans="15:22">
      <c r="R10" t="s">
        <v>36</v>
      </c>
      <c r="S10">
        <v>8</v>
      </c>
      <c r="U10" t="s">
        <v>55</v>
      </c>
      <c r="V10">
        <v>10</v>
      </c>
    </row>
    <row r="11" spans="15:22">
      <c r="R11" t="s">
        <v>37</v>
      </c>
      <c r="S11">
        <v>9</v>
      </c>
      <c r="U11" t="s">
        <v>56</v>
      </c>
      <c r="V11">
        <v>8</v>
      </c>
    </row>
    <row r="12" spans="15:22">
      <c r="R12" t="s">
        <v>38</v>
      </c>
      <c r="S12">
        <v>10</v>
      </c>
      <c r="U12" t="s">
        <v>57</v>
      </c>
      <c r="V12">
        <v>36</v>
      </c>
    </row>
    <row r="13" spans="15:22">
      <c r="R13" t="s">
        <v>313</v>
      </c>
      <c r="S13">
        <v>11</v>
      </c>
      <c r="U13" t="s">
        <v>58</v>
      </c>
      <c r="V13">
        <v>12</v>
      </c>
    </row>
    <row r="14" spans="15:22">
      <c r="R14" t="s">
        <v>39</v>
      </c>
      <c r="S14">
        <v>12</v>
      </c>
      <c r="U14" t="s">
        <v>59</v>
      </c>
      <c r="V14">
        <v>97</v>
      </c>
    </row>
    <row r="15" spans="15:22">
      <c r="R15" t="s">
        <v>40</v>
      </c>
      <c r="S15">
        <v>13</v>
      </c>
      <c r="U15" t="s">
        <v>60</v>
      </c>
      <c r="V15">
        <v>23</v>
      </c>
    </row>
    <row r="16" spans="15:22">
      <c r="R16" t="s">
        <v>41</v>
      </c>
      <c r="S16">
        <v>14</v>
      </c>
      <c r="U16" t="s">
        <v>61</v>
      </c>
      <c r="V16">
        <v>60</v>
      </c>
    </row>
    <row r="17" spans="18:22">
      <c r="R17" t="s">
        <v>42</v>
      </c>
      <c r="S17">
        <v>15</v>
      </c>
      <c r="U17" t="s">
        <v>62</v>
      </c>
      <c r="V17">
        <v>62</v>
      </c>
    </row>
    <row r="18" spans="18:22">
      <c r="R18" t="s">
        <v>36</v>
      </c>
      <c r="S18">
        <v>16</v>
      </c>
      <c r="U18" t="s">
        <v>63</v>
      </c>
      <c r="V18">
        <v>26</v>
      </c>
    </row>
    <row r="19" spans="18:22">
      <c r="R19" t="s">
        <v>43</v>
      </c>
      <c r="S19">
        <v>17</v>
      </c>
      <c r="U19" t="s">
        <v>64</v>
      </c>
      <c r="V19">
        <v>128</v>
      </c>
    </row>
    <row r="20" spans="18:22">
      <c r="R20" t="s">
        <v>44</v>
      </c>
      <c r="S20">
        <v>18</v>
      </c>
      <c r="U20" t="s">
        <v>65</v>
      </c>
      <c r="V20">
        <v>144</v>
      </c>
    </row>
    <row r="21" spans="18:22">
      <c r="R21" t="s">
        <v>45</v>
      </c>
      <c r="S21">
        <v>19</v>
      </c>
      <c r="U21" t="s">
        <v>65</v>
      </c>
      <c r="V21">
        <v>145</v>
      </c>
    </row>
    <row r="22" spans="18:22">
      <c r="R22" t="s">
        <v>46</v>
      </c>
      <c r="S22">
        <v>20</v>
      </c>
      <c r="U22" t="s">
        <v>66</v>
      </c>
      <c r="V22">
        <v>37</v>
      </c>
    </row>
    <row r="23" spans="18:22">
      <c r="R23" t="s">
        <v>47</v>
      </c>
      <c r="S23">
        <v>21</v>
      </c>
      <c r="U23" t="s">
        <v>67</v>
      </c>
      <c r="V23">
        <v>57</v>
      </c>
    </row>
    <row r="24" spans="18:22">
      <c r="U24" t="s">
        <v>68</v>
      </c>
      <c r="V24">
        <v>18</v>
      </c>
    </row>
    <row r="25" spans="18:22">
      <c r="U25" t="s">
        <v>69</v>
      </c>
      <c r="V25">
        <v>21</v>
      </c>
    </row>
    <row r="26" spans="18:22">
      <c r="U26" t="s">
        <v>70</v>
      </c>
      <c r="V26">
        <v>207</v>
      </c>
    </row>
    <row r="27" spans="18:22">
      <c r="U27" t="s">
        <v>71</v>
      </c>
      <c r="V27">
        <v>95</v>
      </c>
    </row>
    <row r="28" spans="18:22">
      <c r="U28" t="s">
        <v>71</v>
      </c>
      <c r="V28">
        <v>85</v>
      </c>
    </row>
    <row r="29" spans="18:22">
      <c r="U29" t="s">
        <v>72</v>
      </c>
      <c r="V29">
        <v>66</v>
      </c>
    </row>
    <row r="30" spans="18:22">
      <c r="U30" t="s">
        <v>73</v>
      </c>
      <c r="V30">
        <v>153</v>
      </c>
    </row>
    <row r="31" spans="18:22">
      <c r="U31" t="s">
        <v>74</v>
      </c>
      <c r="V31">
        <v>261</v>
      </c>
    </row>
    <row r="32" spans="18:22">
      <c r="U32" t="s">
        <v>75</v>
      </c>
      <c r="V32">
        <v>88</v>
      </c>
    </row>
    <row r="33" spans="21:22">
      <c r="U33" t="s">
        <v>75</v>
      </c>
      <c r="V33">
        <v>29</v>
      </c>
    </row>
    <row r="34" spans="21:22">
      <c r="U34" t="s">
        <v>76</v>
      </c>
      <c r="V34">
        <v>100</v>
      </c>
    </row>
    <row r="35" spans="21:22">
      <c r="U35" t="s">
        <v>77</v>
      </c>
      <c r="V35">
        <v>238</v>
      </c>
    </row>
    <row r="36" spans="21:22">
      <c r="U36" t="s">
        <v>78</v>
      </c>
      <c r="V36">
        <v>96</v>
      </c>
    </row>
    <row r="37" spans="21:22">
      <c r="U37" t="s">
        <v>79</v>
      </c>
      <c r="V37">
        <v>104</v>
      </c>
    </row>
    <row r="38" spans="21:22">
      <c r="U38" t="s">
        <v>80</v>
      </c>
      <c r="V38">
        <v>94</v>
      </c>
    </row>
    <row r="39" spans="21:22">
      <c r="U39" t="s">
        <v>81</v>
      </c>
      <c r="V39">
        <v>170</v>
      </c>
    </row>
    <row r="40" spans="21:22">
      <c r="U40" t="s">
        <v>82</v>
      </c>
      <c r="V40">
        <v>136</v>
      </c>
    </row>
    <row r="41" spans="21:22">
      <c r="U41" t="s">
        <v>83</v>
      </c>
      <c r="V41">
        <v>154</v>
      </c>
    </row>
    <row r="42" spans="21:22">
      <c r="U42" t="s">
        <v>83</v>
      </c>
      <c r="V42">
        <v>150</v>
      </c>
    </row>
    <row r="43" spans="21:22">
      <c r="U43" t="s">
        <v>84</v>
      </c>
      <c r="V43">
        <v>38</v>
      </c>
    </row>
    <row r="44" spans="21:22">
      <c r="U44" t="s">
        <v>85</v>
      </c>
      <c r="V44">
        <v>17</v>
      </c>
    </row>
    <row r="45" spans="21:22">
      <c r="U45" t="s">
        <v>86</v>
      </c>
      <c r="V45">
        <v>121</v>
      </c>
    </row>
    <row r="46" spans="21:22">
      <c r="U46" t="s">
        <v>87</v>
      </c>
      <c r="V46">
        <v>182</v>
      </c>
    </row>
    <row r="47" spans="21:22">
      <c r="U47" t="s">
        <v>88</v>
      </c>
      <c r="V47">
        <v>201</v>
      </c>
    </row>
    <row r="48" spans="21:22">
      <c r="U48" t="s">
        <v>89</v>
      </c>
      <c r="V48">
        <v>183</v>
      </c>
    </row>
    <row r="49" spans="21:22">
      <c r="U49" t="s">
        <v>90</v>
      </c>
      <c r="V49">
        <v>108</v>
      </c>
    </row>
    <row r="50" spans="21:22">
      <c r="U50" t="s">
        <v>91</v>
      </c>
      <c r="V50">
        <v>287</v>
      </c>
    </row>
    <row r="51" spans="21:22">
      <c r="U51" t="s">
        <v>92</v>
      </c>
      <c r="V51">
        <v>107</v>
      </c>
    </row>
    <row r="52" spans="21:22">
      <c r="U52" t="s">
        <v>93</v>
      </c>
      <c r="V52">
        <v>259</v>
      </c>
    </row>
    <row r="53" spans="21:22">
      <c r="U53" t="s">
        <v>94</v>
      </c>
      <c r="V53">
        <v>106</v>
      </c>
    </row>
    <row r="54" spans="21:22">
      <c r="U54" t="s">
        <v>95</v>
      </c>
      <c r="V54">
        <v>113</v>
      </c>
    </row>
    <row r="55" spans="21:22">
      <c r="U55" t="s">
        <v>96</v>
      </c>
      <c r="V55">
        <v>163</v>
      </c>
    </row>
    <row r="56" spans="21:22">
      <c r="U56" t="s">
        <v>97</v>
      </c>
      <c r="V56">
        <v>52</v>
      </c>
    </row>
    <row r="57" spans="21:22">
      <c r="U57" t="s">
        <v>97</v>
      </c>
      <c r="V57">
        <v>79</v>
      </c>
    </row>
    <row r="58" spans="21:22">
      <c r="U58" t="s">
        <v>98</v>
      </c>
      <c r="V58">
        <v>15</v>
      </c>
    </row>
    <row r="59" spans="21:22">
      <c r="U59" t="s">
        <v>99</v>
      </c>
      <c r="V59">
        <v>132</v>
      </c>
    </row>
    <row r="60" spans="21:22">
      <c r="U60" t="s">
        <v>99</v>
      </c>
      <c r="V60">
        <v>133</v>
      </c>
    </row>
    <row r="61" spans="21:22">
      <c r="U61" t="s">
        <v>100</v>
      </c>
      <c r="V61">
        <v>98</v>
      </c>
    </row>
    <row r="62" spans="21:22">
      <c r="U62" t="s">
        <v>101</v>
      </c>
      <c r="V62">
        <v>1</v>
      </c>
    </row>
    <row r="63" spans="21:22">
      <c r="U63" t="s">
        <v>102</v>
      </c>
      <c r="V63">
        <v>293</v>
      </c>
    </row>
    <row r="64" spans="21:22">
      <c r="U64" t="s">
        <v>103</v>
      </c>
      <c r="V64">
        <v>291</v>
      </c>
    </row>
    <row r="65" spans="21:22">
      <c r="U65" t="s">
        <v>104</v>
      </c>
      <c r="V65">
        <v>290</v>
      </c>
    </row>
    <row r="66" spans="21:22">
      <c r="U66" t="s">
        <v>105</v>
      </c>
      <c r="V66">
        <v>292</v>
      </c>
    </row>
    <row r="67" spans="21:22">
      <c r="U67" t="s">
        <v>106</v>
      </c>
      <c r="V67">
        <v>284</v>
      </c>
    </row>
    <row r="68" spans="21:22">
      <c r="U68" t="s">
        <v>107</v>
      </c>
      <c r="V68">
        <v>120</v>
      </c>
    </row>
    <row r="69" spans="21:22">
      <c r="U69" t="s">
        <v>107</v>
      </c>
      <c r="V69">
        <v>127</v>
      </c>
    </row>
    <row r="70" spans="21:22">
      <c r="U70" t="s">
        <v>108</v>
      </c>
      <c r="V70">
        <v>242</v>
      </c>
    </row>
    <row r="71" spans="21:22">
      <c r="U71" t="s">
        <v>108</v>
      </c>
      <c r="V71">
        <v>229</v>
      </c>
    </row>
    <row r="72" spans="21:22">
      <c r="U72" t="s">
        <v>109</v>
      </c>
      <c r="V72">
        <v>296</v>
      </c>
    </row>
    <row r="73" spans="21:22">
      <c r="U73" t="s">
        <v>110</v>
      </c>
      <c r="V73">
        <v>204</v>
      </c>
    </row>
    <row r="74" spans="21:22">
      <c r="U74" t="s">
        <v>111</v>
      </c>
      <c r="V74">
        <v>195</v>
      </c>
    </row>
    <row r="75" spans="21:22">
      <c r="U75" t="s">
        <v>111</v>
      </c>
      <c r="V75">
        <v>196</v>
      </c>
    </row>
    <row r="76" spans="21:22">
      <c r="U76" t="s">
        <v>112</v>
      </c>
      <c r="V76">
        <v>119</v>
      </c>
    </row>
    <row r="77" spans="21:22">
      <c r="U77" t="s">
        <v>113</v>
      </c>
      <c r="V77">
        <v>285</v>
      </c>
    </row>
    <row r="78" spans="21:22">
      <c r="U78" t="s">
        <v>114</v>
      </c>
      <c r="V78">
        <v>6</v>
      </c>
    </row>
    <row r="79" spans="21:22">
      <c r="U79" t="s">
        <v>115</v>
      </c>
      <c r="V79">
        <v>126</v>
      </c>
    </row>
    <row r="80" spans="21:22">
      <c r="U80" t="s">
        <v>116</v>
      </c>
      <c r="V80">
        <v>278</v>
      </c>
    </row>
    <row r="81" spans="21:22">
      <c r="U81" t="s">
        <v>117</v>
      </c>
      <c r="V81">
        <v>234</v>
      </c>
    </row>
    <row r="82" spans="21:22">
      <c r="U82" t="s">
        <v>118</v>
      </c>
      <c r="V82">
        <v>254</v>
      </c>
    </row>
    <row r="83" spans="21:22">
      <c r="U83" t="s">
        <v>119</v>
      </c>
      <c r="V83">
        <v>28</v>
      </c>
    </row>
    <row r="84" spans="21:22">
      <c r="U84" t="s">
        <v>120</v>
      </c>
      <c r="V84">
        <v>243</v>
      </c>
    </row>
    <row r="85" spans="21:22">
      <c r="U85" t="s">
        <v>121</v>
      </c>
      <c r="V85">
        <v>187</v>
      </c>
    </row>
    <row r="86" spans="21:22">
      <c r="U86" t="s">
        <v>122</v>
      </c>
      <c r="V86">
        <v>169</v>
      </c>
    </row>
    <row r="87" spans="21:22">
      <c r="U87" t="s">
        <v>123</v>
      </c>
      <c r="V87">
        <v>167</v>
      </c>
    </row>
    <row r="88" spans="21:22">
      <c r="U88" t="s">
        <v>124</v>
      </c>
      <c r="V88">
        <v>168</v>
      </c>
    </row>
    <row r="89" spans="21:22">
      <c r="U89" t="s">
        <v>125</v>
      </c>
      <c r="V89">
        <v>257</v>
      </c>
    </row>
    <row r="90" spans="21:22">
      <c r="U90" t="s">
        <v>126</v>
      </c>
      <c r="V90">
        <v>151</v>
      </c>
    </row>
    <row r="91" spans="21:22">
      <c r="U91" t="s">
        <v>127</v>
      </c>
      <c r="V91">
        <v>61</v>
      </c>
    </row>
    <row r="92" spans="21:22">
      <c r="U92" t="s">
        <v>128</v>
      </c>
      <c r="V92">
        <v>5</v>
      </c>
    </row>
    <row r="93" spans="21:22">
      <c r="U93" t="s">
        <v>129</v>
      </c>
      <c r="V93">
        <v>175</v>
      </c>
    </row>
    <row r="94" spans="21:22">
      <c r="U94" t="s">
        <v>130</v>
      </c>
      <c r="V94">
        <v>160</v>
      </c>
    </row>
    <row r="95" spans="21:22">
      <c r="U95" t="s">
        <v>131</v>
      </c>
      <c r="V95">
        <v>22</v>
      </c>
    </row>
    <row r="96" spans="21:22">
      <c r="U96" t="s">
        <v>132</v>
      </c>
      <c r="V96">
        <v>59</v>
      </c>
    </row>
    <row r="97" spans="21:22">
      <c r="U97" t="s">
        <v>132</v>
      </c>
      <c r="V97">
        <v>114</v>
      </c>
    </row>
    <row r="98" spans="21:22">
      <c r="U98" t="s">
        <v>133</v>
      </c>
      <c r="V98">
        <v>129</v>
      </c>
    </row>
    <row r="99" spans="21:22">
      <c r="U99" t="s">
        <v>134</v>
      </c>
      <c r="V99">
        <v>39</v>
      </c>
    </row>
    <row r="100" spans="21:22">
      <c r="U100" t="s">
        <v>135</v>
      </c>
      <c r="V100">
        <v>105</v>
      </c>
    </row>
    <row r="101" spans="21:22">
      <c r="U101" t="s">
        <v>135</v>
      </c>
      <c r="V101">
        <v>102</v>
      </c>
    </row>
    <row r="102" spans="21:22">
      <c r="U102" t="s">
        <v>136</v>
      </c>
      <c r="V102">
        <v>83</v>
      </c>
    </row>
    <row r="103" spans="21:22">
      <c r="U103" t="s">
        <v>136</v>
      </c>
      <c r="V103">
        <v>258</v>
      </c>
    </row>
    <row r="104" spans="21:22">
      <c r="U104" t="s">
        <v>137</v>
      </c>
      <c r="V104">
        <v>101</v>
      </c>
    </row>
    <row r="105" spans="21:22">
      <c r="U105" t="s">
        <v>138</v>
      </c>
      <c r="V105">
        <v>156</v>
      </c>
    </row>
    <row r="106" spans="21:22">
      <c r="U106" t="s">
        <v>138</v>
      </c>
      <c r="V106">
        <v>80</v>
      </c>
    </row>
    <row r="107" spans="21:22">
      <c r="U107" t="s">
        <v>139</v>
      </c>
      <c r="V107">
        <v>4</v>
      </c>
    </row>
    <row r="108" spans="21:22">
      <c r="U108" t="s">
        <v>140</v>
      </c>
      <c r="V108">
        <v>125</v>
      </c>
    </row>
    <row r="109" spans="21:22">
      <c r="U109" t="s">
        <v>141</v>
      </c>
      <c r="V109">
        <v>236</v>
      </c>
    </row>
    <row r="110" spans="21:22">
      <c r="U110" t="s">
        <v>142</v>
      </c>
      <c r="V110">
        <v>82</v>
      </c>
    </row>
    <row r="111" spans="21:22">
      <c r="U111" t="s">
        <v>143</v>
      </c>
      <c r="V111">
        <v>280</v>
      </c>
    </row>
    <row r="112" spans="21:22">
      <c r="U112" t="s">
        <v>144</v>
      </c>
      <c r="V112">
        <v>87</v>
      </c>
    </row>
    <row r="113" spans="21:22">
      <c r="U113" t="s">
        <v>145</v>
      </c>
      <c r="V113">
        <v>241</v>
      </c>
    </row>
    <row r="114" spans="21:22">
      <c r="U114" t="s">
        <v>146</v>
      </c>
      <c r="V114">
        <v>232</v>
      </c>
    </row>
    <row r="115" spans="21:22">
      <c r="U115" t="s">
        <v>147</v>
      </c>
      <c r="V115">
        <v>134</v>
      </c>
    </row>
    <row r="116" spans="21:22">
      <c r="U116" t="s">
        <v>148</v>
      </c>
      <c r="V116">
        <v>32</v>
      </c>
    </row>
    <row r="117" spans="21:22">
      <c r="U117" t="s">
        <v>149</v>
      </c>
      <c r="V117">
        <v>244</v>
      </c>
    </row>
    <row r="118" spans="21:22">
      <c r="U118" t="s">
        <v>150</v>
      </c>
      <c r="V118">
        <v>253</v>
      </c>
    </row>
    <row r="119" spans="21:22">
      <c r="U119" t="s">
        <v>151</v>
      </c>
      <c r="V119">
        <v>90</v>
      </c>
    </row>
    <row r="120" spans="21:22">
      <c r="U120" t="s">
        <v>152</v>
      </c>
      <c r="V120">
        <v>222</v>
      </c>
    </row>
    <row r="121" spans="21:22">
      <c r="U121" t="s">
        <v>153</v>
      </c>
      <c r="V121">
        <v>11</v>
      </c>
    </row>
    <row r="122" spans="21:22">
      <c r="U122" t="s">
        <v>154</v>
      </c>
      <c r="V122">
        <v>135</v>
      </c>
    </row>
    <row r="123" spans="21:22">
      <c r="U123" t="s">
        <v>155</v>
      </c>
      <c r="V123">
        <v>216</v>
      </c>
    </row>
    <row r="124" spans="21:22">
      <c r="U124" t="s">
        <v>156</v>
      </c>
      <c r="V124">
        <v>30</v>
      </c>
    </row>
    <row r="125" spans="21:22">
      <c r="U125" t="s">
        <v>156</v>
      </c>
      <c r="V125">
        <v>78</v>
      </c>
    </row>
    <row r="126" spans="21:22">
      <c r="U126" t="s">
        <v>157</v>
      </c>
      <c r="V126">
        <v>260</v>
      </c>
    </row>
    <row r="127" spans="21:22">
      <c r="U127" t="s">
        <v>158</v>
      </c>
      <c r="V127">
        <v>179</v>
      </c>
    </row>
    <row r="128" spans="21:22">
      <c r="U128" t="s">
        <v>159</v>
      </c>
      <c r="V128">
        <v>40</v>
      </c>
    </row>
    <row r="129" spans="21:22">
      <c r="U129" t="s">
        <v>160</v>
      </c>
      <c r="V129">
        <v>142</v>
      </c>
    </row>
    <row r="130" spans="21:22">
      <c r="U130" t="s">
        <v>160</v>
      </c>
      <c r="V130">
        <v>143</v>
      </c>
    </row>
    <row r="131" spans="21:22">
      <c r="U131" t="s">
        <v>160</v>
      </c>
      <c r="V131">
        <v>247</v>
      </c>
    </row>
    <row r="132" spans="21:22">
      <c r="U132" t="s">
        <v>161</v>
      </c>
      <c r="V132">
        <v>41</v>
      </c>
    </row>
    <row r="133" spans="21:22">
      <c r="U133" t="s">
        <v>162</v>
      </c>
      <c r="V133">
        <v>164</v>
      </c>
    </row>
    <row r="134" spans="21:22">
      <c r="U134" t="s">
        <v>163</v>
      </c>
      <c r="V134">
        <v>276</v>
      </c>
    </row>
    <row r="135" spans="21:22">
      <c r="U135" t="s">
        <v>164</v>
      </c>
      <c r="V135">
        <v>223</v>
      </c>
    </row>
    <row r="136" spans="21:22">
      <c r="U136" t="s">
        <v>165</v>
      </c>
      <c r="V136">
        <v>178</v>
      </c>
    </row>
    <row r="137" spans="21:22">
      <c r="U137" t="s">
        <v>166</v>
      </c>
      <c r="V137">
        <v>186</v>
      </c>
    </row>
    <row r="138" spans="21:22">
      <c r="U138" t="s">
        <v>167</v>
      </c>
      <c r="V138">
        <v>192</v>
      </c>
    </row>
    <row r="139" spans="21:22">
      <c r="U139" t="s">
        <v>168</v>
      </c>
      <c r="V139">
        <v>189</v>
      </c>
    </row>
    <row r="140" spans="21:22">
      <c r="U140" t="s">
        <v>169</v>
      </c>
      <c r="V140">
        <v>190</v>
      </c>
    </row>
    <row r="141" spans="21:22">
      <c r="U141" t="s">
        <v>170</v>
      </c>
      <c r="V141">
        <v>188</v>
      </c>
    </row>
    <row r="142" spans="21:22">
      <c r="U142" t="s">
        <v>171</v>
      </c>
      <c r="V142">
        <v>191</v>
      </c>
    </row>
    <row r="143" spans="21:22">
      <c r="U143" t="s">
        <v>172</v>
      </c>
      <c r="V143">
        <v>193</v>
      </c>
    </row>
    <row r="144" spans="21:22">
      <c r="U144" t="s">
        <v>173</v>
      </c>
      <c r="V144">
        <v>224</v>
      </c>
    </row>
    <row r="145" spans="21:22">
      <c r="U145" t="s">
        <v>174</v>
      </c>
      <c r="V145">
        <v>237</v>
      </c>
    </row>
    <row r="146" spans="21:22">
      <c r="U146" t="s">
        <v>175</v>
      </c>
      <c r="V146">
        <v>166</v>
      </c>
    </row>
    <row r="147" spans="21:22">
      <c r="U147" t="s">
        <v>176</v>
      </c>
      <c r="V147">
        <v>203</v>
      </c>
    </row>
    <row r="148" spans="21:22">
      <c r="U148" t="s">
        <v>177</v>
      </c>
      <c r="V148">
        <v>42</v>
      </c>
    </row>
    <row r="149" spans="21:22">
      <c r="U149" t="s">
        <v>178</v>
      </c>
      <c r="V149">
        <v>19</v>
      </c>
    </row>
    <row r="150" spans="21:22">
      <c r="U150" t="s">
        <v>29</v>
      </c>
      <c r="V150">
        <v>2</v>
      </c>
    </row>
    <row r="151" spans="21:22">
      <c r="U151" t="s">
        <v>29</v>
      </c>
      <c r="V151">
        <v>51</v>
      </c>
    </row>
    <row r="152" spans="21:22">
      <c r="U152" t="s">
        <v>179</v>
      </c>
      <c r="V152">
        <v>282</v>
      </c>
    </row>
    <row r="153" spans="21:22">
      <c r="U153" t="s">
        <v>180</v>
      </c>
      <c r="V153">
        <v>24</v>
      </c>
    </row>
    <row r="154" spans="21:22">
      <c r="U154" t="s">
        <v>181</v>
      </c>
      <c r="V154">
        <v>7</v>
      </c>
    </row>
    <row r="155" spans="21:22">
      <c r="U155" t="s">
        <v>182</v>
      </c>
      <c r="V155">
        <v>289</v>
      </c>
    </row>
    <row r="156" spans="21:22">
      <c r="U156" t="s">
        <v>183</v>
      </c>
      <c r="V156">
        <v>221</v>
      </c>
    </row>
    <row r="157" spans="21:22">
      <c r="U157" t="s">
        <v>40</v>
      </c>
      <c r="V157">
        <v>198</v>
      </c>
    </row>
    <row r="158" spans="21:22">
      <c r="U158" t="s">
        <v>184</v>
      </c>
      <c r="V158">
        <v>27</v>
      </c>
    </row>
    <row r="159" spans="21:22">
      <c r="U159" t="s">
        <v>185</v>
      </c>
      <c r="V159">
        <v>165</v>
      </c>
    </row>
    <row r="160" spans="21:22">
      <c r="U160" t="s">
        <v>186</v>
      </c>
      <c r="V160">
        <v>53</v>
      </c>
    </row>
    <row r="161" spans="21:22">
      <c r="U161" t="s">
        <v>186</v>
      </c>
      <c r="V161">
        <v>84</v>
      </c>
    </row>
    <row r="162" spans="21:22">
      <c r="U162" t="s">
        <v>187</v>
      </c>
      <c r="V162">
        <v>262</v>
      </c>
    </row>
    <row r="163" spans="21:22">
      <c r="U163" t="s">
        <v>188</v>
      </c>
      <c r="V163">
        <v>228</v>
      </c>
    </row>
    <row r="164" spans="21:22">
      <c r="U164" t="s">
        <v>189</v>
      </c>
      <c r="V164">
        <v>265</v>
      </c>
    </row>
    <row r="165" spans="21:22">
      <c r="U165" t="s">
        <v>190</v>
      </c>
      <c r="V165">
        <v>227</v>
      </c>
    </row>
    <row r="166" spans="21:22">
      <c r="U166" t="s">
        <v>191</v>
      </c>
      <c r="V166">
        <v>226</v>
      </c>
    </row>
    <row r="167" spans="21:22">
      <c r="U167" t="s">
        <v>192</v>
      </c>
      <c r="V167">
        <v>268</v>
      </c>
    </row>
    <row r="168" spans="21:22">
      <c r="U168" t="s">
        <v>193</v>
      </c>
      <c r="V168">
        <v>264</v>
      </c>
    </row>
    <row r="169" spans="21:22">
      <c r="U169" t="s">
        <v>194</v>
      </c>
      <c r="V169">
        <v>269</v>
      </c>
    </row>
    <row r="170" spans="21:22">
      <c r="U170" t="s">
        <v>195</v>
      </c>
      <c r="V170">
        <v>252</v>
      </c>
    </row>
    <row r="171" spans="21:22">
      <c r="U171" t="s">
        <v>196</v>
      </c>
      <c r="V171">
        <v>225</v>
      </c>
    </row>
    <row r="172" spans="21:22">
      <c r="U172" t="s">
        <v>197</v>
      </c>
      <c r="V172">
        <v>267</v>
      </c>
    </row>
    <row r="173" spans="21:22">
      <c r="U173" t="s">
        <v>198</v>
      </c>
      <c r="V173">
        <v>54</v>
      </c>
    </row>
    <row r="174" spans="21:22">
      <c r="U174" t="s">
        <v>199</v>
      </c>
      <c r="V174">
        <v>55</v>
      </c>
    </row>
    <row r="175" spans="21:22">
      <c r="U175" t="s">
        <v>200</v>
      </c>
      <c r="V175">
        <v>271</v>
      </c>
    </row>
    <row r="176" spans="21:22">
      <c r="U176" t="s">
        <v>201</v>
      </c>
      <c r="V176">
        <v>239</v>
      </c>
    </row>
    <row r="177" spans="21:22">
      <c r="U177" t="s">
        <v>202</v>
      </c>
      <c r="V177">
        <v>74</v>
      </c>
    </row>
    <row r="178" spans="21:22">
      <c r="U178" t="s">
        <v>202</v>
      </c>
      <c r="V178">
        <v>67</v>
      </c>
    </row>
    <row r="179" spans="21:22">
      <c r="U179" t="s">
        <v>202</v>
      </c>
      <c r="V179">
        <v>111</v>
      </c>
    </row>
    <row r="180" spans="21:22">
      <c r="U180" t="s">
        <v>202</v>
      </c>
      <c r="V180">
        <v>116</v>
      </c>
    </row>
    <row r="181" spans="21:22">
      <c r="U181" t="s">
        <v>203</v>
      </c>
      <c r="V181">
        <v>117</v>
      </c>
    </row>
    <row r="182" spans="21:22">
      <c r="U182" t="s">
        <v>204</v>
      </c>
      <c r="V182">
        <v>266</v>
      </c>
    </row>
    <row r="183" spans="21:22">
      <c r="U183" t="s">
        <v>205</v>
      </c>
      <c r="V183">
        <v>199</v>
      </c>
    </row>
    <row r="184" spans="21:22">
      <c r="U184" t="s">
        <v>206</v>
      </c>
      <c r="V184">
        <v>246</v>
      </c>
    </row>
    <row r="185" spans="21:22">
      <c r="U185" t="s">
        <v>207</v>
      </c>
      <c r="V185">
        <v>89</v>
      </c>
    </row>
    <row r="186" spans="21:22">
      <c r="U186" t="s">
        <v>208</v>
      </c>
      <c r="V186">
        <v>250</v>
      </c>
    </row>
    <row r="187" spans="21:22">
      <c r="U187" t="s">
        <v>209</v>
      </c>
      <c r="V187">
        <v>251</v>
      </c>
    </row>
    <row r="188" spans="21:22">
      <c r="U188" t="s">
        <v>210</v>
      </c>
      <c r="V188">
        <v>281</v>
      </c>
    </row>
    <row r="189" spans="21:22">
      <c r="U189" t="s">
        <v>211</v>
      </c>
      <c r="V189">
        <v>56</v>
      </c>
    </row>
    <row r="190" spans="21:22">
      <c r="U190" t="s">
        <v>212</v>
      </c>
      <c r="V190">
        <v>208</v>
      </c>
    </row>
    <row r="191" spans="21:22">
      <c r="U191" t="s">
        <v>37</v>
      </c>
      <c r="V191">
        <v>158</v>
      </c>
    </row>
    <row r="192" spans="21:22">
      <c r="U192" t="s">
        <v>213</v>
      </c>
      <c r="V192">
        <v>277</v>
      </c>
    </row>
    <row r="193" spans="21:22">
      <c r="U193" t="s">
        <v>213</v>
      </c>
      <c r="V193">
        <v>9</v>
      </c>
    </row>
    <row r="194" spans="21:22">
      <c r="U194" t="s">
        <v>214</v>
      </c>
      <c r="V194">
        <v>249</v>
      </c>
    </row>
    <row r="195" spans="21:22">
      <c r="U195" t="s">
        <v>215</v>
      </c>
      <c r="V195">
        <v>171</v>
      </c>
    </row>
    <row r="196" spans="21:22">
      <c r="U196" t="s">
        <v>216</v>
      </c>
      <c r="V196">
        <v>137</v>
      </c>
    </row>
    <row r="197" spans="21:22">
      <c r="U197" t="s">
        <v>216</v>
      </c>
      <c r="V197">
        <v>138</v>
      </c>
    </row>
    <row r="198" spans="21:22">
      <c r="U198" t="s">
        <v>217</v>
      </c>
      <c r="V198">
        <v>286</v>
      </c>
    </row>
    <row r="199" spans="21:22">
      <c r="U199" t="s">
        <v>218</v>
      </c>
      <c r="V199">
        <v>43</v>
      </c>
    </row>
    <row r="200" spans="21:22">
      <c r="U200" t="s">
        <v>219</v>
      </c>
      <c r="V200">
        <v>86</v>
      </c>
    </row>
    <row r="201" spans="21:22">
      <c r="U201" t="s">
        <v>220</v>
      </c>
      <c r="V201">
        <v>272</v>
      </c>
    </row>
    <row r="202" spans="21:22">
      <c r="U202" t="s">
        <v>221</v>
      </c>
      <c r="V202">
        <v>274</v>
      </c>
    </row>
    <row r="203" spans="21:22">
      <c r="U203" t="s">
        <v>222</v>
      </c>
      <c r="V203">
        <v>115</v>
      </c>
    </row>
    <row r="204" spans="21:22">
      <c r="U204" t="s">
        <v>222</v>
      </c>
      <c r="V204">
        <v>64</v>
      </c>
    </row>
    <row r="205" spans="21:22">
      <c r="U205" t="s">
        <v>223</v>
      </c>
      <c r="V205">
        <v>235</v>
      </c>
    </row>
    <row r="206" spans="21:22">
      <c r="U206" t="s">
        <v>224</v>
      </c>
      <c r="V206">
        <v>44</v>
      </c>
    </row>
    <row r="207" spans="21:22">
      <c r="U207" t="s">
        <v>225</v>
      </c>
      <c r="V207">
        <v>141</v>
      </c>
    </row>
    <row r="208" spans="21:22">
      <c r="U208" t="s">
        <v>226</v>
      </c>
      <c r="V208">
        <v>288</v>
      </c>
    </row>
    <row r="209" spans="21:22">
      <c r="U209" t="s">
        <v>227</v>
      </c>
      <c r="V209">
        <v>206</v>
      </c>
    </row>
    <row r="210" spans="21:22">
      <c r="U210" t="s">
        <v>228</v>
      </c>
      <c r="V210">
        <v>217</v>
      </c>
    </row>
    <row r="211" spans="21:22">
      <c r="U211" t="s">
        <v>229</v>
      </c>
      <c r="V211">
        <v>180</v>
      </c>
    </row>
    <row r="212" spans="21:22">
      <c r="U212" t="s">
        <v>229</v>
      </c>
      <c r="V212">
        <v>181</v>
      </c>
    </row>
    <row r="213" spans="21:22">
      <c r="U213" t="s">
        <v>230</v>
      </c>
      <c r="V213">
        <v>279</v>
      </c>
    </row>
    <row r="214" spans="21:22">
      <c r="U214" t="s">
        <v>231</v>
      </c>
      <c r="V214">
        <v>263</v>
      </c>
    </row>
    <row r="215" spans="21:22">
      <c r="U215" t="s">
        <v>232</v>
      </c>
      <c r="V215">
        <v>255</v>
      </c>
    </row>
    <row r="216" spans="21:22">
      <c r="U216" t="s">
        <v>233</v>
      </c>
      <c r="V216">
        <v>69</v>
      </c>
    </row>
    <row r="217" spans="21:22">
      <c r="U217" t="s">
        <v>233</v>
      </c>
      <c r="V217">
        <v>76</v>
      </c>
    </row>
    <row r="218" spans="21:22">
      <c r="U218" t="s">
        <v>234</v>
      </c>
      <c r="V218">
        <v>205</v>
      </c>
    </row>
    <row r="219" spans="21:22">
      <c r="U219" t="s">
        <v>234</v>
      </c>
      <c r="V219">
        <v>219</v>
      </c>
    </row>
    <row r="220" spans="21:22">
      <c r="U220" t="s">
        <v>235</v>
      </c>
      <c r="V220">
        <v>220</v>
      </c>
    </row>
    <row r="221" spans="21:22">
      <c r="U221" t="s">
        <v>236</v>
      </c>
      <c r="V221">
        <v>172</v>
      </c>
    </row>
    <row r="222" spans="21:22">
      <c r="U222" t="s">
        <v>237</v>
      </c>
      <c r="V222">
        <v>194</v>
      </c>
    </row>
    <row r="223" spans="21:22">
      <c r="U223" t="s">
        <v>238</v>
      </c>
      <c r="V223">
        <v>45</v>
      </c>
    </row>
    <row r="224" spans="21:22">
      <c r="U224" t="s">
        <v>239</v>
      </c>
      <c r="V224">
        <v>112</v>
      </c>
    </row>
    <row r="225" spans="21:22">
      <c r="U225" t="s">
        <v>240</v>
      </c>
      <c r="V225">
        <v>25</v>
      </c>
    </row>
    <row r="226" spans="21:22">
      <c r="U226" t="s">
        <v>240</v>
      </c>
      <c r="V226">
        <v>81</v>
      </c>
    </row>
    <row r="227" spans="21:22">
      <c r="U227" t="s">
        <v>241</v>
      </c>
      <c r="V227">
        <v>146</v>
      </c>
    </row>
    <row r="228" spans="21:22">
      <c r="U228" t="s">
        <v>242</v>
      </c>
      <c r="V228">
        <v>46</v>
      </c>
    </row>
    <row r="229" spans="21:22">
      <c r="U229" t="s">
        <v>243</v>
      </c>
      <c r="V229">
        <v>63</v>
      </c>
    </row>
    <row r="230" spans="21:22">
      <c r="U230" t="s">
        <v>243</v>
      </c>
      <c r="V230">
        <v>93</v>
      </c>
    </row>
    <row r="231" spans="21:22">
      <c r="U231" t="s">
        <v>244</v>
      </c>
      <c r="V231">
        <v>124</v>
      </c>
    </row>
    <row r="232" spans="21:22">
      <c r="U232" t="s">
        <v>245</v>
      </c>
      <c r="V232">
        <v>270</v>
      </c>
    </row>
    <row r="233" spans="21:22">
      <c r="U233" t="s">
        <v>246</v>
      </c>
      <c r="V233">
        <v>233</v>
      </c>
    </row>
    <row r="234" spans="21:22">
      <c r="U234" t="s">
        <v>32</v>
      </c>
      <c r="V234">
        <v>3</v>
      </c>
    </row>
    <row r="235" spans="21:22">
      <c r="U235" t="s">
        <v>247</v>
      </c>
      <c r="V235">
        <v>176</v>
      </c>
    </row>
    <row r="236" spans="21:22">
      <c r="U236" t="s">
        <v>248</v>
      </c>
      <c r="V236">
        <v>218</v>
      </c>
    </row>
    <row r="237" spans="21:22">
      <c r="U237" t="s">
        <v>249</v>
      </c>
      <c r="V237">
        <v>162</v>
      </c>
    </row>
    <row r="238" spans="21:22">
      <c r="U238" t="s">
        <v>250</v>
      </c>
      <c r="V238">
        <v>47</v>
      </c>
    </row>
    <row r="239" spans="21:22">
      <c r="U239" t="s">
        <v>250</v>
      </c>
      <c r="V239">
        <v>77</v>
      </c>
    </row>
    <row r="240" spans="21:22">
      <c r="U240" t="s">
        <v>251</v>
      </c>
      <c r="V240">
        <v>48</v>
      </c>
    </row>
    <row r="241" spans="21:22">
      <c r="U241" t="s">
        <v>252</v>
      </c>
      <c r="V241">
        <v>122</v>
      </c>
    </row>
    <row r="242" spans="21:22">
      <c r="U242" t="s">
        <v>252</v>
      </c>
      <c r="V242">
        <v>109</v>
      </c>
    </row>
    <row r="243" spans="21:22">
      <c r="U243" t="s">
        <v>253</v>
      </c>
      <c r="V243">
        <v>200</v>
      </c>
    </row>
    <row r="244" spans="21:22">
      <c r="U244" t="s">
        <v>254</v>
      </c>
      <c r="V244">
        <v>139</v>
      </c>
    </row>
    <row r="245" spans="21:22">
      <c r="U245" t="s">
        <v>254</v>
      </c>
      <c r="V245">
        <v>152</v>
      </c>
    </row>
    <row r="246" spans="21:22">
      <c r="U246" t="s">
        <v>255</v>
      </c>
      <c r="V246">
        <v>149</v>
      </c>
    </row>
    <row r="247" spans="21:22">
      <c r="U247" t="s">
        <v>256</v>
      </c>
      <c r="V247">
        <v>31</v>
      </c>
    </row>
    <row r="248" spans="21:22">
      <c r="U248" t="s">
        <v>257</v>
      </c>
      <c r="V248">
        <v>184</v>
      </c>
    </row>
    <row r="249" spans="21:22">
      <c r="U249" t="s">
        <v>258</v>
      </c>
      <c r="V249">
        <v>185</v>
      </c>
    </row>
    <row r="250" spans="21:22">
      <c r="U250" t="s">
        <v>259</v>
      </c>
      <c r="V250">
        <v>197</v>
      </c>
    </row>
    <row r="251" spans="21:22">
      <c r="U251" t="s">
        <v>260</v>
      </c>
      <c r="V251">
        <v>202</v>
      </c>
    </row>
    <row r="252" spans="21:22">
      <c r="U252" t="s">
        <v>261</v>
      </c>
      <c r="V252">
        <v>173</v>
      </c>
    </row>
    <row r="253" spans="21:22">
      <c r="U253" t="s">
        <v>262</v>
      </c>
      <c r="V253">
        <v>118</v>
      </c>
    </row>
    <row r="254" spans="21:22">
      <c r="U254" t="s">
        <v>263</v>
      </c>
      <c r="V254">
        <v>16</v>
      </c>
    </row>
    <row r="255" spans="21:22">
      <c r="U255" t="s">
        <v>264</v>
      </c>
      <c r="V255">
        <v>99</v>
      </c>
    </row>
    <row r="256" spans="21:22">
      <c r="U256" t="s">
        <v>265</v>
      </c>
      <c r="V256">
        <v>231</v>
      </c>
    </row>
    <row r="257" spans="21:22">
      <c r="U257" t="s">
        <v>266</v>
      </c>
      <c r="V257">
        <v>157</v>
      </c>
    </row>
    <row r="258" spans="21:22">
      <c r="U258" t="s">
        <v>267</v>
      </c>
      <c r="V258">
        <v>33</v>
      </c>
    </row>
    <row r="259" spans="21:22">
      <c r="U259" t="s">
        <v>30</v>
      </c>
      <c r="V259">
        <v>50</v>
      </c>
    </row>
    <row r="260" spans="21:22">
      <c r="U260" t="s">
        <v>268</v>
      </c>
      <c r="V260">
        <v>13</v>
      </c>
    </row>
    <row r="261" spans="21:22">
      <c r="U261" t="s">
        <v>269</v>
      </c>
      <c r="V261">
        <v>20</v>
      </c>
    </row>
    <row r="262" spans="21:22">
      <c r="U262" t="s">
        <v>269</v>
      </c>
      <c r="V262">
        <v>103</v>
      </c>
    </row>
    <row r="263" spans="21:22">
      <c r="U263" t="s">
        <v>270</v>
      </c>
      <c r="V263">
        <v>147</v>
      </c>
    </row>
    <row r="264" spans="21:22">
      <c r="U264" t="s">
        <v>270</v>
      </c>
      <c r="V264">
        <v>148</v>
      </c>
    </row>
    <row r="265" spans="21:22">
      <c r="U265" t="s">
        <v>270</v>
      </c>
      <c r="V265">
        <v>256</v>
      </c>
    </row>
    <row r="266" spans="21:22">
      <c r="U266" t="s">
        <v>271</v>
      </c>
      <c r="V266">
        <v>58</v>
      </c>
    </row>
    <row r="267" spans="21:22">
      <c r="U267" t="s">
        <v>271</v>
      </c>
      <c r="V267">
        <v>75</v>
      </c>
    </row>
    <row r="268" spans="21:22">
      <c r="U268" t="s">
        <v>272</v>
      </c>
      <c r="V268">
        <v>49</v>
      </c>
    </row>
    <row r="269" spans="21:22">
      <c r="U269" t="s">
        <v>273</v>
      </c>
      <c r="V269">
        <v>73</v>
      </c>
    </row>
    <row r="270" spans="21:22">
      <c r="U270" t="s">
        <v>274</v>
      </c>
      <c r="V270">
        <v>174</v>
      </c>
    </row>
    <row r="271" spans="21:22">
      <c r="U271" t="s">
        <v>274</v>
      </c>
      <c r="V271">
        <v>177</v>
      </c>
    </row>
    <row r="272" spans="21:22">
      <c r="U272" t="s">
        <v>275</v>
      </c>
      <c r="V272">
        <v>240</v>
      </c>
    </row>
    <row r="273" spans="21:22">
      <c r="U273" t="s">
        <v>276</v>
      </c>
      <c r="V273">
        <v>34</v>
      </c>
    </row>
    <row r="274" spans="21:22">
      <c r="U274" t="s">
        <v>277</v>
      </c>
      <c r="V274">
        <v>245</v>
      </c>
    </row>
    <row r="275" spans="21:22">
      <c r="U275" t="s">
        <v>278</v>
      </c>
      <c r="V275">
        <v>123</v>
      </c>
    </row>
    <row r="276" spans="21:22">
      <c r="U276" t="s">
        <v>279</v>
      </c>
      <c r="V276">
        <v>110</v>
      </c>
    </row>
    <row r="277" spans="21:22">
      <c r="U277" t="s">
        <v>280</v>
      </c>
      <c r="V277">
        <v>273</v>
      </c>
    </row>
    <row r="278" spans="21:22">
      <c r="U278" t="s">
        <v>281</v>
      </c>
      <c r="V278">
        <v>91</v>
      </c>
    </row>
    <row r="279" spans="21:22">
      <c r="U279" t="s">
        <v>282</v>
      </c>
      <c r="V279">
        <v>155</v>
      </c>
    </row>
    <row r="280" spans="21:22">
      <c r="U280" t="s">
        <v>283</v>
      </c>
      <c r="V280">
        <v>68</v>
      </c>
    </row>
    <row r="281" spans="21:22">
      <c r="U281" t="s">
        <v>284</v>
      </c>
      <c r="V281">
        <v>14</v>
      </c>
    </row>
    <row r="282" spans="21:22">
      <c r="U282" t="s">
        <v>285</v>
      </c>
      <c r="V282">
        <v>65</v>
      </c>
    </row>
    <row r="283" spans="21:22">
      <c r="U283" t="s">
        <v>285</v>
      </c>
      <c r="V283">
        <v>92</v>
      </c>
    </row>
    <row r="284" spans="21:22">
      <c r="U284" t="s">
        <v>286</v>
      </c>
      <c r="V284">
        <v>131</v>
      </c>
    </row>
    <row r="285" spans="21:22">
      <c r="U285" t="s">
        <v>287</v>
      </c>
      <c r="V285">
        <v>130</v>
      </c>
    </row>
    <row r="286" spans="21:22">
      <c r="U286" t="s">
        <v>287</v>
      </c>
      <c r="V286">
        <v>140</v>
      </c>
    </row>
    <row r="287" spans="21:22">
      <c r="U287" t="s">
        <v>288</v>
      </c>
      <c r="V287">
        <v>70</v>
      </c>
    </row>
    <row r="288" spans="21:22">
      <c r="U288" t="s">
        <v>289</v>
      </c>
      <c r="V288">
        <v>72</v>
      </c>
    </row>
    <row r="289" spans="21:22">
      <c r="U289" t="s">
        <v>290</v>
      </c>
      <c r="V289">
        <v>161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100"/>
  <sheetViews>
    <sheetView workbookViewId="0">
      <selection activeCell="I23" sqref="I23"/>
    </sheetView>
  </sheetViews>
  <sheetFormatPr defaultRowHeight="12.75"/>
  <cols>
    <col min="4" max="4" width="9.140625" style="20"/>
  </cols>
  <sheetData>
    <row r="1" spans="1:5">
      <c r="A1" s="17" t="s">
        <v>309</v>
      </c>
      <c r="B1" s="17" t="s">
        <v>311</v>
      </c>
      <c r="D1" s="19"/>
    </row>
    <row r="2" spans="1:5">
      <c r="A2" s="17" t="s">
        <v>28</v>
      </c>
      <c r="B2" s="17">
        <v>18</v>
      </c>
    </row>
    <row r="3" spans="1:5">
      <c r="D3" s="20" t="s">
        <v>337</v>
      </c>
      <c r="E3">
        <v>1600</v>
      </c>
    </row>
    <row r="4" spans="1:5">
      <c r="D4" s="20" t="s">
        <v>340</v>
      </c>
      <c r="E4">
        <v>-4900</v>
      </c>
    </row>
    <row r="5" spans="1:5">
      <c r="D5" s="20" t="s">
        <v>341</v>
      </c>
      <c r="E5">
        <v>9700</v>
      </c>
    </row>
    <row r="6" spans="1:5">
      <c r="D6" s="20" t="s">
        <v>342</v>
      </c>
      <c r="E6">
        <v>2000</v>
      </c>
    </row>
    <row r="7" spans="1:5">
      <c r="D7" s="20" t="s">
        <v>338</v>
      </c>
      <c r="E7">
        <v>2000</v>
      </c>
    </row>
    <row r="8" spans="1:5">
      <c r="D8" s="20" t="s">
        <v>343</v>
      </c>
      <c r="E8">
        <v>9500</v>
      </c>
    </row>
    <row r="9" spans="1:5">
      <c r="D9" s="20" t="s">
        <v>344</v>
      </c>
      <c r="E9">
        <v>6100</v>
      </c>
    </row>
    <row r="10" spans="1:5">
      <c r="A10" s="18" t="s">
        <v>310</v>
      </c>
      <c r="D10" s="20" t="s">
        <v>345</v>
      </c>
      <c r="E10">
        <v>8500</v>
      </c>
    </row>
    <row r="11" spans="1:5">
      <c r="A11" s="18">
        <v>231</v>
      </c>
      <c r="D11" s="20" t="s">
        <v>346</v>
      </c>
      <c r="E11">
        <v>-2400</v>
      </c>
    </row>
    <row r="12" spans="1:5">
      <c r="A12" s="18" t="s">
        <v>312</v>
      </c>
      <c r="D12" s="20" t="s">
        <v>339</v>
      </c>
      <c r="E12">
        <v>3500</v>
      </c>
    </row>
    <row r="13" spans="1:5">
      <c r="A13" s="18"/>
      <c r="D13" s="20" t="s">
        <v>347</v>
      </c>
      <c r="E13">
        <v>2300</v>
      </c>
    </row>
    <row r="14" spans="1:5">
      <c r="A14" s="18"/>
      <c r="D14" s="20" t="s">
        <v>348</v>
      </c>
      <c r="E14">
        <v>11800</v>
      </c>
    </row>
    <row r="15" spans="1:5">
      <c r="A15" s="18"/>
      <c r="D15" s="20" t="s">
        <v>349</v>
      </c>
      <c r="E15">
        <v>2700</v>
      </c>
    </row>
    <row r="16" spans="1:5">
      <c r="A16" s="18"/>
      <c r="D16" s="20" t="s">
        <v>350</v>
      </c>
      <c r="E16">
        <v>12600</v>
      </c>
    </row>
    <row r="17" spans="1:5">
      <c r="A17" s="18"/>
      <c r="D17" s="20" t="s">
        <v>336</v>
      </c>
      <c r="E17">
        <v>-88</v>
      </c>
    </row>
    <row r="18" spans="1:5">
      <c r="A18" s="18"/>
    </row>
    <row r="19" spans="1:5">
      <c r="A19" s="18"/>
    </row>
    <row r="20" spans="1:5">
      <c r="A20" s="18"/>
    </row>
    <row r="21" spans="1:5">
      <c r="A21" s="18"/>
    </row>
    <row r="22" spans="1:5">
      <c r="A22" s="18"/>
    </row>
    <row r="23" spans="1:5">
      <c r="A23" s="18"/>
    </row>
    <row r="24" spans="1:5">
      <c r="A24" s="18"/>
    </row>
    <row r="25" spans="1:5">
      <c r="A25" s="18"/>
    </row>
    <row r="26" spans="1:5">
      <c r="A26" s="18"/>
    </row>
    <row r="27" spans="1:5">
      <c r="A27" s="18"/>
    </row>
    <row r="28" spans="1:5">
      <c r="A28" s="18"/>
    </row>
    <row r="29" spans="1:5">
      <c r="A29" s="18"/>
    </row>
    <row r="30" spans="1:5">
      <c r="A30" s="18"/>
    </row>
    <row r="31" spans="1:5">
      <c r="A31" s="18"/>
    </row>
    <row r="32" spans="1:5">
      <c r="A32" s="18"/>
    </row>
    <row r="33" spans="1:1">
      <c r="A33" s="18"/>
    </row>
    <row r="34" spans="1:1">
      <c r="A34" s="18"/>
    </row>
    <row r="35" spans="1:1">
      <c r="A35" s="18"/>
    </row>
    <row r="36" spans="1:1">
      <c r="A36" s="18"/>
    </row>
    <row r="37" spans="1:1">
      <c r="A37" s="18"/>
    </row>
    <row r="38" spans="1:1">
      <c r="A38" s="18"/>
    </row>
    <row r="39" spans="1:1">
      <c r="A39" s="18"/>
    </row>
    <row r="40" spans="1:1">
      <c r="A40" s="18"/>
    </row>
    <row r="41" spans="1:1">
      <c r="A41" s="18"/>
    </row>
    <row r="42" spans="1:1">
      <c r="A42" s="18"/>
    </row>
    <row r="43" spans="1:1">
      <c r="A43" s="18"/>
    </row>
    <row r="44" spans="1:1">
      <c r="A44" s="18"/>
    </row>
    <row r="45" spans="1:1">
      <c r="A45" s="18"/>
    </row>
    <row r="46" spans="1:1">
      <c r="A46" s="18"/>
    </row>
    <row r="47" spans="1:1">
      <c r="A47" s="18"/>
    </row>
    <row r="48" spans="1:1">
      <c r="A48" s="18"/>
    </row>
    <row r="49" spans="1:1">
      <c r="A49" s="18"/>
    </row>
    <row r="50" spans="1:1">
      <c r="A50" s="18"/>
    </row>
    <row r="51" spans="1:1">
      <c r="A51" s="18"/>
    </row>
    <row r="52" spans="1:1">
      <c r="A52" s="18"/>
    </row>
    <row r="53" spans="1:1">
      <c r="A53" s="18"/>
    </row>
    <row r="54" spans="1:1">
      <c r="A54" s="18"/>
    </row>
    <row r="55" spans="1:1">
      <c r="A55" s="18"/>
    </row>
    <row r="56" spans="1:1">
      <c r="A56" s="18"/>
    </row>
    <row r="57" spans="1:1">
      <c r="A57" s="18"/>
    </row>
    <row r="58" spans="1:1">
      <c r="A58" s="18"/>
    </row>
    <row r="59" spans="1:1">
      <c r="A59" s="18"/>
    </row>
    <row r="60" spans="1:1">
      <c r="A60" s="18"/>
    </row>
    <row r="61" spans="1:1">
      <c r="A61" s="18"/>
    </row>
    <row r="62" spans="1:1">
      <c r="A62" s="18"/>
    </row>
    <row r="63" spans="1:1">
      <c r="A63" s="18"/>
    </row>
    <row r="64" spans="1:1">
      <c r="A64" s="18"/>
    </row>
    <row r="65" spans="1:1">
      <c r="A65" s="18"/>
    </row>
    <row r="66" spans="1:1">
      <c r="A66" s="18"/>
    </row>
    <row r="67" spans="1:1">
      <c r="A67" s="18"/>
    </row>
    <row r="68" spans="1:1">
      <c r="A68" s="18"/>
    </row>
    <row r="69" spans="1:1">
      <c r="A69" s="18"/>
    </row>
    <row r="70" spans="1:1">
      <c r="A70" s="18"/>
    </row>
    <row r="71" spans="1:1">
      <c r="A71" s="18"/>
    </row>
    <row r="72" spans="1:1">
      <c r="A72" s="18"/>
    </row>
    <row r="73" spans="1:1">
      <c r="A73" s="18"/>
    </row>
    <row r="74" spans="1:1">
      <c r="A74" s="18"/>
    </row>
    <row r="75" spans="1:1">
      <c r="A75" s="18"/>
    </row>
    <row r="76" spans="1:1">
      <c r="A76" s="18"/>
    </row>
    <row r="77" spans="1:1">
      <c r="A77" s="18"/>
    </row>
    <row r="78" spans="1:1">
      <c r="A78" s="18"/>
    </row>
    <row r="79" spans="1:1">
      <c r="A79" s="18"/>
    </row>
    <row r="80" spans="1:1">
      <c r="A80" s="18"/>
    </row>
    <row r="81" spans="1:1">
      <c r="A81" s="18"/>
    </row>
    <row r="82" spans="1:1">
      <c r="A82" s="18"/>
    </row>
    <row r="83" spans="1:1">
      <c r="A83" s="18"/>
    </row>
    <row r="84" spans="1:1">
      <c r="A84" s="18"/>
    </row>
    <row r="85" spans="1:1">
      <c r="A85" s="18"/>
    </row>
    <row r="86" spans="1:1">
      <c r="A86" s="18"/>
    </row>
    <row r="87" spans="1:1">
      <c r="A87" s="18"/>
    </row>
    <row r="88" spans="1:1">
      <c r="A88" s="18"/>
    </row>
    <row r="89" spans="1:1">
      <c r="A89" s="18"/>
    </row>
    <row r="90" spans="1:1">
      <c r="A90" s="18"/>
    </row>
    <row r="91" spans="1:1">
      <c r="A91" s="18"/>
    </row>
    <row r="92" spans="1:1">
      <c r="A92" s="18"/>
    </row>
    <row r="93" spans="1:1">
      <c r="A93" s="18"/>
    </row>
    <row r="94" spans="1:1">
      <c r="A94" s="18"/>
    </row>
    <row r="95" spans="1:1">
      <c r="A95" s="18"/>
    </row>
    <row r="96" spans="1:1">
      <c r="A96" s="18"/>
    </row>
    <row r="97" spans="1:1">
      <c r="A97" s="18"/>
    </row>
    <row r="98" spans="1:1">
      <c r="A98" s="18"/>
    </row>
    <row r="99" spans="1:1">
      <c r="A99" s="18"/>
    </row>
    <row r="100" spans="1:1">
      <c r="A100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S100"/>
  <sheetViews>
    <sheetView workbookViewId="0">
      <selection activeCell="E1" sqref="E1:CA3"/>
    </sheetView>
  </sheetViews>
  <sheetFormatPr defaultRowHeight="12.75"/>
  <cols>
    <col min="4" max="4" width="9.140625" style="20"/>
  </cols>
  <sheetData>
    <row r="1" spans="1:19">
      <c r="A1" s="17" t="s">
        <v>320</v>
      </c>
      <c r="B1" s="21">
        <f ca="1">IF(WEEKDAY(TODAY(),1)=2,TODAY()-3,TODAY()-1)</f>
        <v>41142</v>
      </c>
      <c r="D1" s="19"/>
      <c r="E1" t="s">
        <v>337</v>
      </c>
      <c r="F1" t="s">
        <v>340</v>
      </c>
      <c r="G1" t="s">
        <v>341</v>
      </c>
      <c r="H1" t="s">
        <v>342</v>
      </c>
      <c r="I1" t="s">
        <v>338</v>
      </c>
      <c r="J1" t="s">
        <v>343</v>
      </c>
      <c r="K1" t="s">
        <v>344</v>
      </c>
      <c r="L1" t="s">
        <v>345</v>
      </c>
      <c r="M1" t="s">
        <v>346</v>
      </c>
      <c r="N1" t="s">
        <v>339</v>
      </c>
      <c r="O1" t="s">
        <v>347</v>
      </c>
      <c r="P1" t="s">
        <v>348</v>
      </c>
      <c r="Q1" t="s">
        <v>349</v>
      </c>
      <c r="R1" t="s">
        <v>350</v>
      </c>
      <c r="S1" t="s">
        <v>336</v>
      </c>
    </row>
    <row r="2" spans="1:19">
      <c r="A2" s="17" t="s">
        <v>321</v>
      </c>
      <c r="B2" s="21">
        <f ca="1">TODAY()</f>
        <v>41143</v>
      </c>
      <c r="E2" t="s">
        <v>328</v>
      </c>
      <c r="F2" t="s">
        <v>328</v>
      </c>
      <c r="G2" t="s">
        <v>328</v>
      </c>
      <c r="H2" t="s">
        <v>328</v>
      </c>
      <c r="I2" t="s">
        <v>328</v>
      </c>
      <c r="J2" t="s">
        <v>328</v>
      </c>
      <c r="K2" t="s">
        <v>328</v>
      </c>
      <c r="L2" t="s">
        <v>328</v>
      </c>
      <c r="M2" t="s">
        <v>328</v>
      </c>
      <c r="N2" t="s">
        <v>328</v>
      </c>
      <c r="O2" t="s">
        <v>328</v>
      </c>
      <c r="P2" t="s">
        <v>328</v>
      </c>
      <c r="Q2" t="s">
        <v>328</v>
      </c>
      <c r="R2" t="s">
        <v>328</v>
      </c>
      <c r="S2" t="s">
        <v>328</v>
      </c>
    </row>
    <row r="3" spans="1:19">
      <c r="A3" s="17" t="s">
        <v>322</v>
      </c>
      <c r="B3" s="17">
        <v>1073</v>
      </c>
      <c r="D3" s="20">
        <v>41142</v>
      </c>
      <c r="E3">
        <v>74.02</v>
      </c>
      <c r="F3">
        <v>23.56</v>
      </c>
      <c r="G3">
        <v>11.96</v>
      </c>
      <c r="H3">
        <v>58.05</v>
      </c>
      <c r="I3">
        <v>38.950000000000003</v>
      </c>
      <c r="J3">
        <v>12.28</v>
      </c>
      <c r="K3">
        <v>19.11</v>
      </c>
      <c r="L3">
        <v>13.64</v>
      </c>
      <c r="M3">
        <v>47.7</v>
      </c>
      <c r="N3">
        <v>10.82</v>
      </c>
      <c r="O3">
        <v>51</v>
      </c>
      <c r="P3">
        <v>9.84</v>
      </c>
      <c r="Q3">
        <v>43.15</v>
      </c>
      <c r="R3">
        <v>9.23</v>
      </c>
      <c r="S3">
        <v>59493</v>
      </c>
    </row>
    <row r="4" spans="1:19">
      <c r="A4" s="17" t="s">
        <v>323</v>
      </c>
      <c r="B4" s="17"/>
    </row>
    <row r="5" spans="1:19">
      <c r="A5" s="17" t="s">
        <v>324</v>
      </c>
      <c r="B5" s="17"/>
    </row>
    <row r="10" spans="1:19">
      <c r="A10" s="18" t="s">
        <v>325</v>
      </c>
      <c r="B10" s="18" t="s">
        <v>326</v>
      </c>
      <c r="C10" s="18" t="s">
        <v>327</v>
      </c>
    </row>
    <row r="11" spans="1:19">
      <c r="A11" s="18" t="str">
        <f>IF(Portfolio!D3&lt;&gt;"",Portfolio!D3,"")</f>
        <v>AMBV4</v>
      </c>
      <c r="B11" s="18">
        <f>IF(A11&lt;&gt;"",1,"")</f>
        <v>1</v>
      </c>
      <c r="C11" s="18">
        <f>IF(A11&lt;&gt;"",1,"")</f>
        <v>1</v>
      </c>
    </row>
    <row r="12" spans="1:19">
      <c r="A12" s="18" t="str">
        <f>IF(Portfolio!D4&lt;&gt;"",Portfolio!D4,"")</f>
        <v>BRPR3</v>
      </c>
      <c r="B12" s="18">
        <f t="shared" ref="B12:B75" si="0">IF(A12&lt;&gt;"",1,"")</f>
        <v>1</v>
      </c>
      <c r="C12" s="18">
        <f t="shared" ref="C12:C75" si="1">IF(A12&lt;&gt;"",1,"")</f>
        <v>1</v>
      </c>
    </row>
    <row r="13" spans="1:19">
      <c r="A13" s="18" t="str">
        <f>IF(Portfolio!D5&lt;&gt;"",Portfolio!D5,"")</f>
        <v>BVMF3</v>
      </c>
      <c r="B13" s="18">
        <f t="shared" si="0"/>
        <v>1</v>
      </c>
      <c r="C13" s="18">
        <f t="shared" si="1"/>
        <v>1</v>
      </c>
    </row>
    <row r="14" spans="1:19">
      <c r="A14" s="18" t="str">
        <f>IF(Portfolio!D6&lt;&gt;"",Portfolio!D6,"")</f>
        <v>CIEL3</v>
      </c>
      <c r="B14" s="18">
        <f t="shared" si="0"/>
        <v>1</v>
      </c>
      <c r="C14" s="18">
        <f t="shared" si="1"/>
        <v>1</v>
      </c>
    </row>
    <row r="15" spans="1:19">
      <c r="A15" s="18" t="str">
        <f>IF(Portfolio!D7&lt;&gt;"",Portfolio!D7,"")</f>
        <v>CMIG4</v>
      </c>
      <c r="B15" s="18">
        <f t="shared" si="0"/>
        <v>1</v>
      </c>
      <c r="C15" s="18">
        <f t="shared" si="1"/>
        <v>1</v>
      </c>
    </row>
    <row r="16" spans="1:19">
      <c r="A16" s="18" t="str">
        <f>IF(Portfolio!D8&lt;&gt;"",Portfolio!D8,"")</f>
        <v>DASA3</v>
      </c>
      <c r="B16" s="18">
        <f t="shared" si="0"/>
        <v>1</v>
      </c>
      <c r="C16" s="18">
        <f t="shared" si="1"/>
        <v>1</v>
      </c>
    </row>
    <row r="17" spans="1:3">
      <c r="A17" s="18" t="str">
        <f>IF(Portfolio!D9&lt;&gt;"",Portfolio!D9,"")</f>
        <v>ELPL4</v>
      </c>
      <c r="B17" s="18">
        <f t="shared" si="0"/>
        <v>1</v>
      </c>
      <c r="C17" s="18">
        <f t="shared" si="1"/>
        <v>1</v>
      </c>
    </row>
    <row r="18" spans="1:3">
      <c r="A18" s="18" t="str">
        <f>IF(Portfolio!D10&lt;&gt;"",Portfolio!D10,"")</f>
        <v>HYPE3</v>
      </c>
      <c r="B18" s="18">
        <f t="shared" si="0"/>
        <v>1</v>
      </c>
      <c r="C18" s="18">
        <f t="shared" si="1"/>
        <v>1</v>
      </c>
    </row>
    <row r="19" spans="1:3">
      <c r="A19" s="18" t="str">
        <f>IF(Portfolio!D11&lt;&gt;"",Portfolio!D11,"")</f>
        <v>IGTA3</v>
      </c>
      <c r="B19" s="18">
        <f t="shared" si="0"/>
        <v>1</v>
      </c>
      <c r="C19" s="18">
        <f t="shared" si="1"/>
        <v>1</v>
      </c>
    </row>
    <row r="20" spans="1:3">
      <c r="A20" s="18" t="str">
        <f>IF(Portfolio!D12&lt;&gt;"",Portfolio!D12,"")</f>
        <v>MGLU3</v>
      </c>
      <c r="B20" s="18">
        <f t="shared" si="0"/>
        <v>1</v>
      </c>
      <c r="C20" s="18">
        <f t="shared" si="1"/>
        <v>1</v>
      </c>
    </row>
    <row r="21" spans="1:3">
      <c r="A21" s="18" t="str">
        <f>IF(Portfolio!D13&lt;&gt;"",Portfolio!D13,"")</f>
        <v>MULT3</v>
      </c>
      <c r="B21" s="18">
        <f t="shared" si="0"/>
        <v>1</v>
      </c>
      <c r="C21" s="18">
        <f t="shared" si="1"/>
        <v>1</v>
      </c>
    </row>
    <row r="22" spans="1:3">
      <c r="A22" s="18" t="str">
        <f>IF(Portfolio!D14&lt;&gt;"",Portfolio!D14,"")</f>
        <v>RAPT4</v>
      </c>
      <c r="B22" s="18">
        <f t="shared" si="0"/>
        <v>1</v>
      </c>
      <c r="C22" s="18">
        <f t="shared" si="1"/>
        <v>1</v>
      </c>
    </row>
    <row r="23" spans="1:3">
      <c r="A23" s="18" t="str">
        <f>IF(Portfolio!D15&lt;&gt;"",Portfolio!D15,"")</f>
        <v>UGPA3</v>
      </c>
      <c r="B23" s="18">
        <f t="shared" si="0"/>
        <v>1</v>
      </c>
      <c r="C23" s="18">
        <f t="shared" si="1"/>
        <v>1</v>
      </c>
    </row>
    <row r="24" spans="1:3">
      <c r="A24" s="18" t="str">
        <f>IF(Portfolio!D16&lt;&gt;"",Portfolio!D16,"")</f>
        <v>USIM3</v>
      </c>
      <c r="B24" s="18">
        <f t="shared" si="0"/>
        <v>1</v>
      </c>
      <c r="C24" s="18">
        <f t="shared" si="1"/>
        <v>1</v>
      </c>
    </row>
    <row r="25" spans="1:3">
      <c r="A25" s="18" t="str">
        <f>IF(Portfolio!D17&lt;&gt;"",Portfolio!D17,"")</f>
        <v>WINV12</v>
      </c>
      <c r="B25" s="18">
        <f t="shared" si="0"/>
        <v>1</v>
      </c>
      <c r="C25" s="18">
        <f t="shared" si="1"/>
        <v>1</v>
      </c>
    </row>
    <row r="26" spans="1:3">
      <c r="A26" s="18" t="str">
        <f>IF(Portfolio!D18&lt;&gt;"",Portfolio!D18,"")</f>
        <v/>
      </c>
      <c r="B26" s="18" t="str">
        <f t="shared" si="0"/>
        <v/>
      </c>
      <c r="C26" s="18" t="str">
        <f t="shared" si="1"/>
        <v/>
      </c>
    </row>
    <row r="27" spans="1:3">
      <c r="A27" s="18" t="str">
        <f>IF(Portfolio!D19&lt;&gt;"",Portfolio!D19,"")</f>
        <v/>
      </c>
      <c r="B27" s="18" t="str">
        <f t="shared" si="0"/>
        <v/>
      </c>
      <c r="C27" s="18" t="str">
        <f t="shared" si="1"/>
        <v/>
      </c>
    </row>
    <row r="28" spans="1:3">
      <c r="A28" s="18" t="str">
        <f>IF(Portfolio!D20&lt;&gt;"",Portfolio!D20,"")</f>
        <v/>
      </c>
      <c r="B28" s="18" t="str">
        <f t="shared" si="0"/>
        <v/>
      </c>
      <c r="C28" s="18" t="str">
        <f t="shared" si="1"/>
        <v/>
      </c>
    </row>
    <row r="29" spans="1:3">
      <c r="A29" s="18" t="str">
        <f>IF(Portfolio!D21&lt;&gt;"",Portfolio!D21,"")</f>
        <v/>
      </c>
      <c r="B29" s="18" t="str">
        <f t="shared" si="0"/>
        <v/>
      </c>
      <c r="C29" s="18" t="str">
        <f t="shared" si="1"/>
        <v/>
      </c>
    </row>
    <row r="30" spans="1:3">
      <c r="A30" s="18" t="str">
        <f>IF(Portfolio!D22&lt;&gt;"",Portfolio!D22,"")</f>
        <v/>
      </c>
      <c r="B30" s="18" t="str">
        <f t="shared" si="0"/>
        <v/>
      </c>
      <c r="C30" s="18" t="str">
        <f t="shared" si="1"/>
        <v/>
      </c>
    </row>
    <row r="31" spans="1:3">
      <c r="A31" s="18" t="str">
        <f>IF(Portfolio!D23&lt;&gt;"",Portfolio!D23,"")</f>
        <v/>
      </c>
      <c r="B31" s="18" t="str">
        <f t="shared" si="0"/>
        <v/>
      </c>
      <c r="C31" s="18" t="str">
        <f t="shared" si="1"/>
        <v/>
      </c>
    </row>
    <row r="32" spans="1:3">
      <c r="A32" s="18" t="str">
        <f>IF(Portfolio!D24&lt;&gt;"",Portfolio!D24,"")</f>
        <v/>
      </c>
      <c r="B32" s="18" t="str">
        <f t="shared" si="0"/>
        <v/>
      </c>
      <c r="C32" s="18" t="str">
        <f t="shared" si="1"/>
        <v/>
      </c>
    </row>
    <row r="33" spans="1:3">
      <c r="A33" s="18" t="str">
        <f>IF(Portfolio!D25&lt;&gt;"",Portfolio!D25,"")</f>
        <v/>
      </c>
      <c r="B33" s="18" t="str">
        <f t="shared" si="0"/>
        <v/>
      </c>
      <c r="C33" s="18" t="str">
        <f t="shared" si="1"/>
        <v/>
      </c>
    </row>
    <row r="34" spans="1:3">
      <c r="A34" s="18" t="str">
        <f>IF(Portfolio!D26&lt;&gt;"",Portfolio!D26,"")</f>
        <v/>
      </c>
      <c r="B34" s="18" t="str">
        <f t="shared" si="0"/>
        <v/>
      </c>
      <c r="C34" s="18" t="str">
        <f t="shared" si="1"/>
        <v/>
      </c>
    </row>
    <row r="35" spans="1:3">
      <c r="A35" s="18" t="str">
        <f>IF(Portfolio!D27&lt;&gt;"",Portfolio!D27,"")</f>
        <v/>
      </c>
      <c r="B35" s="18" t="str">
        <f t="shared" si="0"/>
        <v/>
      </c>
      <c r="C35" s="18" t="str">
        <f t="shared" si="1"/>
        <v/>
      </c>
    </row>
    <row r="36" spans="1:3">
      <c r="A36" s="18" t="str">
        <f>IF(Portfolio!D28&lt;&gt;"",Portfolio!D28,"")</f>
        <v/>
      </c>
      <c r="B36" s="18" t="str">
        <f t="shared" si="0"/>
        <v/>
      </c>
      <c r="C36" s="18" t="str">
        <f t="shared" si="1"/>
        <v/>
      </c>
    </row>
    <row r="37" spans="1:3">
      <c r="A37" s="18" t="str">
        <f>IF(Portfolio!D29&lt;&gt;"",Portfolio!D29,"")</f>
        <v/>
      </c>
      <c r="B37" s="18" t="str">
        <f t="shared" si="0"/>
        <v/>
      </c>
      <c r="C37" s="18" t="str">
        <f t="shared" si="1"/>
        <v/>
      </c>
    </row>
    <row r="38" spans="1:3">
      <c r="A38" s="18" t="str">
        <f>IF(Portfolio!D30&lt;&gt;"",Portfolio!D30,"")</f>
        <v/>
      </c>
      <c r="B38" s="18" t="str">
        <f t="shared" si="0"/>
        <v/>
      </c>
      <c r="C38" s="18" t="str">
        <f t="shared" si="1"/>
        <v/>
      </c>
    </row>
    <row r="39" spans="1:3">
      <c r="A39" s="18" t="str">
        <f>IF(Portfolio!D31&lt;&gt;"",Portfolio!D31,"")</f>
        <v/>
      </c>
      <c r="B39" s="18" t="str">
        <f t="shared" si="0"/>
        <v/>
      </c>
      <c r="C39" s="18" t="str">
        <f t="shared" si="1"/>
        <v/>
      </c>
    </row>
    <row r="40" spans="1:3">
      <c r="A40" s="18" t="str">
        <f>IF(Portfolio!D32&lt;&gt;"",Portfolio!D32,"")</f>
        <v/>
      </c>
      <c r="B40" s="18" t="str">
        <f t="shared" si="0"/>
        <v/>
      </c>
      <c r="C40" s="18" t="str">
        <f t="shared" si="1"/>
        <v/>
      </c>
    </row>
    <row r="41" spans="1:3">
      <c r="A41" s="18" t="str">
        <f>IF(Portfolio!D33&lt;&gt;"",Portfolio!D33,"")</f>
        <v/>
      </c>
      <c r="B41" s="18" t="str">
        <f t="shared" si="0"/>
        <v/>
      </c>
      <c r="C41" s="18" t="str">
        <f t="shared" si="1"/>
        <v/>
      </c>
    </row>
    <row r="42" spans="1:3">
      <c r="A42" s="18" t="str">
        <f>IF(Portfolio!D34&lt;&gt;"",Portfolio!D34,"")</f>
        <v/>
      </c>
      <c r="B42" s="18" t="str">
        <f t="shared" si="0"/>
        <v/>
      </c>
      <c r="C42" s="18" t="str">
        <f t="shared" si="1"/>
        <v/>
      </c>
    </row>
    <row r="43" spans="1:3">
      <c r="A43" s="18" t="str">
        <f>IF(Portfolio!D35&lt;&gt;"",Portfolio!D35,"")</f>
        <v/>
      </c>
      <c r="B43" s="18" t="str">
        <f t="shared" si="0"/>
        <v/>
      </c>
      <c r="C43" s="18" t="str">
        <f t="shared" si="1"/>
        <v/>
      </c>
    </row>
    <row r="44" spans="1:3">
      <c r="A44" s="18" t="str">
        <f>IF(Portfolio!D36&lt;&gt;"",Portfolio!D36,"")</f>
        <v/>
      </c>
      <c r="B44" s="18" t="str">
        <f t="shared" si="0"/>
        <v/>
      </c>
      <c r="C44" s="18" t="str">
        <f t="shared" si="1"/>
        <v/>
      </c>
    </row>
    <row r="45" spans="1:3">
      <c r="A45" s="18" t="str">
        <f>IF(Portfolio!D37&lt;&gt;"",Portfolio!D37,"")</f>
        <v/>
      </c>
      <c r="B45" s="18" t="str">
        <f t="shared" si="0"/>
        <v/>
      </c>
      <c r="C45" s="18" t="str">
        <f t="shared" si="1"/>
        <v/>
      </c>
    </row>
    <row r="46" spans="1:3">
      <c r="A46" s="18" t="str">
        <f>IF(Portfolio!D38&lt;&gt;"",Portfolio!D38,"")</f>
        <v/>
      </c>
      <c r="B46" s="18" t="str">
        <f t="shared" si="0"/>
        <v/>
      </c>
      <c r="C46" s="18" t="str">
        <f t="shared" si="1"/>
        <v/>
      </c>
    </row>
    <row r="47" spans="1:3">
      <c r="A47" s="18" t="str">
        <f>IF(Portfolio!D39&lt;&gt;"",Portfolio!D39,"")</f>
        <v/>
      </c>
      <c r="B47" s="18" t="str">
        <f t="shared" si="0"/>
        <v/>
      </c>
      <c r="C47" s="18" t="str">
        <f t="shared" si="1"/>
        <v/>
      </c>
    </row>
    <row r="48" spans="1:3">
      <c r="A48" s="18" t="str">
        <f>IF(Portfolio!D40&lt;&gt;"",Portfolio!D40,"")</f>
        <v/>
      </c>
      <c r="B48" s="18" t="str">
        <f t="shared" si="0"/>
        <v/>
      </c>
      <c r="C48" s="18" t="str">
        <f t="shared" si="1"/>
        <v/>
      </c>
    </row>
    <row r="49" spans="1:3">
      <c r="A49" s="18" t="str">
        <f>IF(Portfolio!D41&lt;&gt;"",Portfolio!D41,"")</f>
        <v/>
      </c>
      <c r="B49" s="18" t="str">
        <f t="shared" si="0"/>
        <v/>
      </c>
      <c r="C49" s="18" t="str">
        <f t="shared" si="1"/>
        <v/>
      </c>
    </row>
    <row r="50" spans="1:3">
      <c r="A50" s="18" t="str">
        <f>IF(Portfolio!D42&lt;&gt;"",Portfolio!D42,"")</f>
        <v/>
      </c>
      <c r="B50" s="18" t="str">
        <f t="shared" si="0"/>
        <v/>
      </c>
      <c r="C50" s="18" t="str">
        <f t="shared" si="1"/>
        <v/>
      </c>
    </row>
    <row r="51" spans="1:3">
      <c r="A51" s="18" t="str">
        <f>IF(Portfolio!D43&lt;&gt;"",Portfolio!D43,"")</f>
        <v/>
      </c>
      <c r="B51" s="18" t="str">
        <f t="shared" si="0"/>
        <v/>
      </c>
      <c r="C51" s="18" t="str">
        <f t="shared" si="1"/>
        <v/>
      </c>
    </row>
    <row r="52" spans="1:3">
      <c r="A52" s="18" t="str">
        <f>IF(Portfolio!D44&lt;&gt;"",Portfolio!D44,"")</f>
        <v/>
      </c>
      <c r="B52" s="18" t="str">
        <f t="shared" si="0"/>
        <v/>
      </c>
      <c r="C52" s="18" t="str">
        <f t="shared" si="1"/>
        <v/>
      </c>
    </row>
    <row r="53" spans="1:3">
      <c r="A53" s="18" t="str">
        <f>IF(Portfolio!D45&lt;&gt;"",Portfolio!D45,"")</f>
        <v/>
      </c>
      <c r="B53" s="18" t="str">
        <f t="shared" si="0"/>
        <v/>
      </c>
      <c r="C53" s="18" t="str">
        <f t="shared" si="1"/>
        <v/>
      </c>
    </row>
    <row r="54" spans="1:3">
      <c r="A54" s="18" t="str">
        <f>IF(Portfolio!D46&lt;&gt;"",Portfolio!D46,"")</f>
        <v/>
      </c>
      <c r="B54" s="18" t="str">
        <f t="shared" si="0"/>
        <v/>
      </c>
      <c r="C54" s="18" t="str">
        <f t="shared" si="1"/>
        <v/>
      </c>
    </row>
    <row r="55" spans="1:3">
      <c r="A55" s="18" t="str">
        <f>IF(Portfolio!D47&lt;&gt;"",Portfolio!D47,"")</f>
        <v/>
      </c>
      <c r="B55" s="18" t="str">
        <f t="shared" si="0"/>
        <v/>
      </c>
      <c r="C55" s="18" t="str">
        <f t="shared" si="1"/>
        <v/>
      </c>
    </row>
    <row r="56" spans="1:3">
      <c r="A56" s="18" t="str">
        <f>IF(Portfolio!D48&lt;&gt;"",Portfolio!D48,"")</f>
        <v/>
      </c>
      <c r="B56" s="18" t="str">
        <f t="shared" si="0"/>
        <v/>
      </c>
      <c r="C56" s="18" t="str">
        <f t="shared" si="1"/>
        <v/>
      </c>
    </row>
    <row r="57" spans="1:3">
      <c r="A57" s="18" t="str">
        <f>IF(Portfolio!D49&lt;&gt;"",Portfolio!D49,"")</f>
        <v/>
      </c>
      <c r="B57" s="18" t="str">
        <f t="shared" si="0"/>
        <v/>
      </c>
      <c r="C57" s="18" t="str">
        <f t="shared" si="1"/>
        <v/>
      </c>
    </row>
    <row r="58" spans="1:3">
      <c r="A58" s="18" t="str">
        <f>IF(Portfolio!D50&lt;&gt;"",Portfolio!D50,"")</f>
        <v/>
      </c>
      <c r="B58" s="18" t="str">
        <f t="shared" si="0"/>
        <v/>
      </c>
      <c r="C58" s="18" t="str">
        <f t="shared" si="1"/>
        <v/>
      </c>
    </row>
    <row r="59" spans="1:3">
      <c r="A59" s="18" t="str">
        <f>IF(Portfolio!D51&lt;&gt;"",Portfolio!D51,"")</f>
        <v/>
      </c>
      <c r="B59" s="18" t="str">
        <f t="shared" si="0"/>
        <v/>
      </c>
      <c r="C59" s="18" t="str">
        <f t="shared" si="1"/>
        <v/>
      </c>
    </row>
    <row r="60" spans="1:3">
      <c r="A60" s="18" t="str">
        <f>IF(Portfolio!D52&lt;&gt;"",Portfolio!D52,"")</f>
        <v/>
      </c>
      <c r="B60" s="18" t="str">
        <f t="shared" si="0"/>
        <v/>
      </c>
      <c r="C60" s="18" t="str">
        <f t="shared" si="1"/>
        <v/>
      </c>
    </row>
    <row r="61" spans="1:3">
      <c r="A61" s="18" t="str">
        <f>IF(Portfolio!D53&lt;&gt;"",Portfolio!D53,"")</f>
        <v/>
      </c>
      <c r="B61" s="18" t="str">
        <f t="shared" si="0"/>
        <v/>
      </c>
      <c r="C61" s="18" t="str">
        <f t="shared" si="1"/>
        <v/>
      </c>
    </row>
    <row r="62" spans="1:3">
      <c r="A62" s="18" t="str">
        <f>IF(Portfolio!D54&lt;&gt;"",Portfolio!D54,"")</f>
        <v/>
      </c>
      <c r="B62" s="18" t="str">
        <f t="shared" si="0"/>
        <v/>
      </c>
      <c r="C62" s="18" t="str">
        <f t="shared" si="1"/>
        <v/>
      </c>
    </row>
    <row r="63" spans="1:3">
      <c r="A63" s="18" t="str">
        <f>IF(Portfolio!D55&lt;&gt;"",Portfolio!D55,"")</f>
        <v/>
      </c>
      <c r="B63" s="18" t="str">
        <f t="shared" si="0"/>
        <v/>
      </c>
      <c r="C63" s="18" t="str">
        <f t="shared" si="1"/>
        <v/>
      </c>
    </row>
    <row r="64" spans="1:3">
      <c r="A64" s="18" t="str">
        <f>IF(Portfolio!D56&lt;&gt;"",Portfolio!D56,"")</f>
        <v/>
      </c>
      <c r="B64" s="18" t="str">
        <f t="shared" si="0"/>
        <v/>
      </c>
      <c r="C64" s="18" t="str">
        <f t="shared" si="1"/>
        <v/>
      </c>
    </row>
    <row r="65" spans="1:3">
      <c r="A65" s="18" t="str">
        <f>IF(Portfolio!D57&lt;&gt;"",Portfolio!D57,"")</f>
        <v/>
      </c>
      <c r="B65" s="18" t="str">
        <f t="shared" si="0"/>
        <v/>
      </c>
      <c r="C65" s="18" t="str">
        <f t="shared" si="1"/>
        <v/>
      </c>
    </row>
    <row r="66" spans="1:3">
      <c r="A66" s="18" t="str">
        <f>IF(Portfolio!D58&lt;&gt;"",Portfolio!D58,"")</f>
        <v/>
      </c>
      <c r="B66" s="18" t="str">
        <f t="shared" si="0"/>
        <v/>
      </c>
      <c r="C66" s="18" t="str">
        <f t="shared" si="1"/>
        <v/>
      </c>
    </row>
    <row r="67" spans="1:3">
      <c r="A67" s="18" t="str">
        <f>IF(Portfolio!D59&lt;&gt;"",Portfolio!D59,"")</f>
        <v/>
      </c>
      <c r="B67" s="18" t="str">
        <f t="shared" si="0"/>
        <v/>
      </c>
      <c r="C67" s="18" t="str">
        <f t="shared" si="1"/>
        <v/>
      </c>
    </row>
    <row r="68" spans="1:3">
      <c r="A68" s="18" t="str">
        <f>IF(Portfolio!D60&lt;&gt;"",Portfolio!D60,"")</f>
        <v/>
      </c>
      <c r="B68" s="18" t="str">
        <f t="shared" si="0"/>
        <v/>
      </c>
      <c r="C68" s="18" t="str">
        <f t="shared" si="1"/>
        <v/>
      </c>
    </row>
    <row r="69" spans="1:3">
      <c r="A69" s="18" t="str">
        <f>IF(Portfolio!D61&lt;&gt;"",Portfolio!D61,"")</f>
        <v/>
      </c>
      <c r="B69" s="18" t="str">
        <f t="shared" si="0"/>
        <v/>
      </c>
      <c r="C69" s="18" t="str">
        <f t="shared" si="1"/>
        <v/>
      </c>
    </row>
    <row r="70" spans="1:3">
      <c r="A70" s="18" t="str">
        <f>IF(Portfolio!D62&lt;&gt;"",Portfolio!D62,"")</f>
        <v/>
      </c>
      <c r="B70" s="18" t="str">
        <f t="shared" si="0"/>
        <v/>
      </c>
      <c r="C70" s="18" t="str">
        <f t="shared" si="1"/>
        <v/>
      </c>
    </row>
    <row r="71" spans="1:3">
      <c r="A71" s="18" t="str">
        <f>IF(Portfolio!D63&lt;&gt;"",Portfolio!D63,"")</f>
        <v/>
      </c>
      <c r="B71" s="18" t="str">
        <f t="shared" si="0"/>
        <v/>
      </c>
      <c r="C71" s="18" t="str">
        <f t="shared" si="1"/>
        <v/>
      </c>
    </row>
    <row r="72" spans="1:3">
      <c r="A72" s="18" t="str">
        <f>IF(Portfolio!D64&lt;&gt;"",Portfolio!D64,"")</f>
        <v/>
      </c>
      <c r="B72" s="18" t="str">
        <f t="shared" si="0"/>
        <v/>
      </c>
      <c r="C72" s="18" t="str">
        <f t="shared" si="1"/>
        <v/>
      </c>
    </row>
    <row r="73" spans="1:3">
      <c r="A73" s="18" t="str">
        <f>IF(Portfolio!D65&lt;&gt;"",Portfolio!D65,"")</f>
        <v/>
      </c>
      <c r="B73" s="18" t="str">
        <f t="shared" si="0"/>
        <v/>
      </c>
      <c r="C73" s="18" t="str">
        <f t="shared" si="1"/>
        <v/>
      </c>
    </row>
    <row r="74" spans="1:3">
      <c r="A74" s="18" t="str">
        <f>IF(Portfolio!D66&lt;&gt;"",Portfolio!D66,"")</f>
        <v/>
      </c>
      <c r="B74" s="18" t="str">
        <f t="shared" si="0"/>
        <v/>
      </c>
      <c r="C74" s="18" t="str">
        <f t="shared" si="1"/>
        <v/>
      </c>
    </row>
    <row r="75" spans="1:3">
      <c r="A75" s="18" t="str">
        <f>IF(Portfolio!D67&lt;&gt;"",Portfolio!D67,"")</f>
        <v/>
      </c>
      <c r="B75" s="18" t="str">
        <f t="shared" si="0"/>
        <v/>
      </c>
      <c r="C75" s="18" t="str">
        <f t="shared" si="1"/>
        <v/>
      </c>
    </row>
    <row r="76" spans="1:3">
      <c r="A76" s="18" t="str">
        <f>IF(Portfolio!D68&lt;&gt;"",Portfolio!D68,"")</f>
        <v/>
      </c>
      <c r="B76" s="18" t="str">
        <f t="shared" ref="B76:B100" si="2">IF(A76&lt;&gt;"",1,"")</f>
        <v/>
      </c>
      <c r="C76" s="18" t="str">
        <f t="shared" ref="C76:C100" si="3">IF(A76&lt;&gt;"",1,"")</f>
        <v/>
      </c>
    </row>
    <row r="77" spans="1:3">
      <c r="A77" s="18" t="str">
        <f>IF(Portfolio!D69&lt;&gt;"",Portfolio!D69,"")</f>
        <v/>
      </c>
      <c r="B77" s="18" t="str">
        <f t="shared" si="2"/>
        <v/>
      </c>
      <c r="C77" s="18" t="str">
        <f t="shared" si="3"/>
        <v/>
      </c>
    </row>
    <row r="78" spans="1:3">
      <c r="A78" s="18" t="str">
        <f>IF(Portfolio!D70&lt;&gt;"",Portfolio!D70,"")</f>
        <v/>
      </c>
      <c r="B78" s="18" t="str">
        <f t="shared" si="2"/>
        <v/>
      </c>
      <c r="C78" s="18" t="str">
        <f t="shared" si="3"/>
        <v/>
      </c>
    </row>
    <row r="79" spans="1:3">
      <c r="A79" s="18" t="str">
        <f>IF(Portfolio!D71&lt;&gt;"",Portfolio!D71,"")</f>
        <v/>
      </c>
      <c r="B79" s="18" t="str">
        <f t="shared" si="2"/>
        <v/>
      </c>
      <c r="C79" s="18" t="str">
        <f t="shared" si="3"/>
        <v/>
      </c>
    </row>
    <row r="80" spans="1:3">
      <c r="A80" s="18" t="str">
        <f>IF(Portfolio!D72&lt;&gt;"",Portfolio!D72,"")</f>
        <v/>
      </c>
      <c r="B80" s="18" t="str">
        <f t="shared" si="2"/>
        <v/>
      </c>
      <c r="C80" s="18" t="str">
        <f t="shared" si="3"/>
        <v/>
      </c>
    </row>
    <row r="81" spans="1:3">
      <c r="A81" s="18" t="str">
        <f>IF(Portfolio!D73&lt;&gt;"",Portfolio!D73,"")</f>
        <v/>
      </c>
      <c r="B81" s="18" t="str">
        <f t="shared" si="2"/>
        <v/>
      </c>
      <c r="C81" s="18" t="str">
        <f t="shared" si="3"/>
        <v/>
      </c>
    </row>
    <row r="82" spans="1:3">
      <c r="A82" s="18" t="str">
        <f>IF(Portfolio!D74&lt;&gt;"",Portfolio!D74,"")</f>
        <v/>
      </c>
      <c r="B82" s="18" t="str">
        <f t="shared" si="2"/>
        <v/>
      </c>
      <c r="C82" s="18" t="str">
        <f t="shared" si="3"/>
        <v/>
      </c>
    </row>
    <row r="83" spans="1:3">
      <c r="A83" s="18" t="str">
        <f>IF(Portfolio!D75&lt;&gt;"",Portfolio!D75,"")</f>
        <v/>
      </c>
      <c r="B83" s="18" t="str">
        <f t="shared" si="2"/>
        <v/>
      </c>
      <c r="C83" s="18" t="str">
        <f t="shared" si="3"/>
        <v/>
      </c>
    </row>
    <row r="84" spans="1:3">
      <c r="A84" s="18" t="str">
        <f>IF(Portfolio!D76&lt;&gt;"",Portfolio!D76,"")</f>
        <v/>
      </c>
      <c r="B84" s="18" t="str">
        <f t="shared" si="2"/>
        <v/>
      </c>
      <c r="C84" s="18" t="str">
        <f t="shared" si="3"/>
        <v/>
      </c>
    </row>
    <row r="85" spans="1:3">
      <c r="A85" s="18" t="str">
        <f>IF(Portfolio!D77&lt;&gt;"",Portfolio!D77,"")</f>
        <v/>
      </c>
      <c r="B85" s="18" t="str">
        <f t="shared" si="2"/>
        <v/>
      </c>
      <c r="C85" s="18" t="str">
        <f t="shared" si="3"/>
        <v/>
      </c>
    </row>
    <row r="86" spans="1:3">
      <c r="A86" s="18" t="str">
        <f>IF(Portfolio!D78&lt;&gt;"",Portfolio!D78,"")</f>
        <v/>
      </c>
      <c r="B86" s="18" t="str">
        <f t="shared" si="2"/>
        <v/>
      </c>
      <c r="C86" s="18" t="str">
        <f t="shared" si="3"/>
        <v/>
      </c>
    </row>
    <row r="87" spans="1:3">
      <c r="A87" s="18" t="str">
        <f>IF(Portfolio!D79&lt;&gt;"",Portfolio!D79,"")</f>
        <v/>
      </c>
      <c r="B87" s="18" t="str">
        <f t="shared" si="2"/>
        <v/>
      </c>
      <c r="C87" s="18" t="str">
        <f t="shared" si="3"/>
        <v/>
      </c>
    </row>
    <row r="88" spans="1:3">
      <c r="A88" s="18" t="str">
        <f>IF(Portfolio!D80&lt;&gt;"",Portfolio!D80,"")</f>
        <v/>
      </c>
      <c r="B88" s="18" t="str">
        <f t="shared" si="2"/>
        <v/>
      </c>
      <c r="C88" s="18" t="str">
        <f t="shared" si="3"/>
        <v/>
      </c>
    </row>
    <row r="89" spans="1:3">
      <c r="A89" s="18" t="str">
        <f>IF(Portfolio!D81&lt;&gt;"",Portfolio!D81,"")</f>
        <v/>
      </c>
      <c r="B89" s="18" t="str">
        <f t="shared" si="2"/>
        <v/>
      </c>
      <c r="C89" s="18" t="str">
        <f t="shared" si="3"/>
        <v/>
      </c>
    </row>
    <row r="90" spans="1:3">
      <c r="A90" s="18" t="str">
        <f>IF(Portfolio!D82&lt;&gt;"",Portfolio!D82,"")</f>
        <v/>
      </c>
      <c r="B90" s="18" t="str">
        <f t="shared" si="2"/>
        <v/>
      </c>
      <c r="C90" s="18" t="str">
        <f t="shared" si="3"/>
        <v/>
      </c>
    </row>
    <row r="91" spans="1:3">
      <c r="A91" s="18" t="str">
        <f>IF(Portfolio!D83&lt;&gt;"",Portfolio!D83,"")</f>
        <v/>
      </c>
      <c r="B91" s="18" t="str">
        <f t="shared" si="2"/>
        <v/>
      </c>
      <c r="C91" s="18" t="str">
        <f t="shared" si="3"/>
        <v/>
      </c>
    </row>
    <row r="92" spans="1:3">
      <c r="A92" s="18" t="str">
        <f>IF(Portfolio!D84&lt;&gt;"",Portfolio!D84,"")</f>
        <v/>
      </c>
      <c r="B92" s="18" t="str">
        <f t="shared" si="2"/>
        <v/>
      </c>
      <c r="C92" s="18" t="str">
        <f t="shared" si="3"/>
        <v/>
      </c>
    </row>
    <row r="93" spans="1:3">
      <c r="A93" s="18" t="str">
        <f>IF(Portfolio!D85&lt;&gt;"",Portfolio!D85,"")</f>
        <v/>
      </c>
      <c r="B93" s="18" t="str">
        <f t="shared" si="2"/>
        <v/>
      </c>
      <c r="C93" s="18" t="str">
        <f t="shared" si="3"/>
        <v/>
      </c>
    </row>
    <row r="94" spans="1:3">
      <c r="A94" s="18" t="str">
        <f>IF(Portfolio!D86&lt;&gt;"",Portfolio!D86,"")</f>
        <v/>
      </c>
      <c r="B94" s="18" t="str">
        <f t="shared" si="2"/>
        <v/>
      </c>
      <c r="C94" s="18" t="str">
        <f t="shared" si="3"/>
        <v/>
      </c>
    </row>
    <row r="95" spans="1:3">
      <c r="A95" s="18" t="str">
        <f>IF(Portfolio!D87&lt;&gt;"",Portfolio!D87,"")</f>
        <v/>
      </c>
      <c r="B95" s="18" t="str">
        <f t="shared" si="2"/>
        <v/>
      </c>
      <c r="C95" s="18" t="str">
        <f t="shared" si="3"/>
        <v/>
      </c>
    </row>
    <row r="96" spans="1:3">
      <c r="A96" s="18" t="str">
        <f>IF(Portfolio!D88&lt;&gt;"",Portfolio!D88,"")</f>
        <v/>
      </c>
      <c r="B96" s="18" t="str">
        <f t="shared" si="2"/>
        <v/>
      </c>
      <c r="C96" s="18" t="str">
        <f t="shared" si="3"/>
        <v/>
      </c>
    </row>
    <row r="97" spans="1:3">
      <c r="A97" s="18" t="str">
        <f>IF(Portfolio!D89&lt;&gt;"",Portfolio!D89,"")</f>
        <v/>
      </c>
      <c r="B97" s="18" t="str">
        <f t="shared" si="2"/>
        <v/>
      </c>
      <c r="C97" s="18" t="str">
        <f t="shared" si="3"/>
        <v/>
      </c>
    </row>
    <row r="98" spans="1:3">
      <c r="A98" s="18" t="str">
        <f>IF(Portfolio!D90&lt;&gt;"",Portfolio!D90,"")</f>
        <v/>
      </c>
      <c r="B98" s="18" t="str">
        <f t="shared" si="2"/>
        <v/>
      </c>
      <c r="C98" s="18" t="str">
        <f t="shared" si="3"/>
        <v/>
      </c>
    </row>
    <row r="99" spans="1:3">
      <c r="A99" s="18" t="str">
        <f>IF(Portfolio!D91&lt;&gt;"",Portfolio!D91,"")</f>
        <v/>
      </c>
      <c r="B99" s="18" t="str">
        <f t="shared" si="2"/>
        <v/>
      </c>
      <c r="C99" s="18" t="str">
        <f t="shared" si="3"/>
        <v/>
      </c>
    </row>
    <row r="100" spans="1:3">
      <c r="A100" s="18" t="str">
        <f>IF(Portfolio!D92&lt;&gt;"",Portfolio!D92,"")</f>
        <v/>
      </c>
      <c r="B100" s="18" t="str">
        <f t="shared" si="2"/>
        <v/>
      </c>
      <c r="C100" s="18" t="str">
        <f t="shared" si="3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S100"/>
  <sheetViews>
    <sheetView workbookViewId="0">
      <selection activeCell="E1" sqref="E1:CA3"/>
    </sheetView>
  </sheetViews>
  <sheetFormatPr defaultRowHeight="12.75"/>
  <cols>
    <col min="4" max="4" width="9.140625" style="20"/>
  </cols>
  <sheetData>
    <row r="1" spans="1:19">
      <c r="A1" s="17" t="s">
        <v>320</v>
      </c>
      <c r="B1" s="21">
        <f ca="1">IF(WEEKDAY(TODAY(),1)=2,TODAY()-3,TODAY()-1)</f>
        <v>41142</v>
      </c>
      <c r="D1" s="19"/>
      <c r="E1" t="s">
        <v>337</v>
      </c>
      <c r="F1" t="s">
        <v>340</v>
      </c>
      <c r="G1" t="s">
        <v>341</v>
      </c>
      <c r="H1" t="s">
        <v>342</v>
      </c>
      <c r="I1" t="s">
        <v>338</v>
      </c>
      <c r="J1" t="s">
        <v>343</v>
      </c>
      <c r="K1" t="s">
        <v>344</v>
      </c>
      <c r="L1" t="s">
        <v>345</v>
      </c>
      <c r="M1" t="s">
        <v>346</v>
      </c>
      <c r="N1" t="s">
        <v>339</v>
      </c>
      <c r="O1" t="s">
        <v>347</v>
      </c>
      <c r="P1" t="s">
        <v>348</v>
      </c>
      <c r="Q1" t="s">
        <v>349</v>
      </c>
      <c r="R1" t="s">
        <v>350</v>
      </c>
      <c r="S1" t="s">
        <v>336</v>
      </c>
    </row>
    <row r="2" spans="1:19">
      <c r="A2" s="17" t="s">
        <v>321</v>
      </c>
      <c r="B2" s="21">
        <f ca="1">TODAY()</f>
        <v>41143</v>
      </c>
      <c r="E2" t="s">
        <v>329</v>
      </c>
      <c r="F2" t="s">
        <v>329</v>
      </c>
      <c r="G2" t="s">
        <v>329</v>
      </c>
      <c r="H2" t="s">
        <v>329</v>
      </c>
      <c r="I2" t="s">
        <v>329</v>
      </c>
      <c r="J2" t="s">
        <v>329</v>
      </c>
      <c r="K2" t="s">
        <v>329</v>
      </c>
      <c r="L2" t="s">
        <v>329</v>
      </c>
      <c r="M2" t="s">
        <v>329</v>
      </c>
      <c r="N2" t="s">
        <v>329</v>
      </c>
      <c r="O2" t="s">
        <v>329</v>
      </c>
      <c r="P2" t="s">
        <v>329</v>
      </c>
      <c r="Q2" t="s">
        <v>329</v>
      </c>
      <c r="R2" t="s">
        <v>329</v>
      </c>
      <c r="S2" t="s">
        <v>329</v>
      </c>
    </row>
    <row r="3" spans="1:19">
      <c r="A3" s="17" t="s">
        <v>322</v>
      </c>
      <c r="B3" s="17">
        <v>1073</v>
      </c>
      <c r="D3" s="20">
        <v>41142</v>
      </c>
      <c r="E3">
        <v>74.02</v>
      </c>
      <c r="F3">
        <v>23.22</v>
      </c>
      <c r="G3">
        <v>11.95</v>
      </c>
      <c r="H3">
        <v>58.05</v>
      </c>
      <c r="I3">
        <v>38.83</v>
      </c>
      <c r="J3">
        <v>12.24</v>
      </c>
      <c r="K3">
        <v>19.079999999999998</v>
      </c>
      <c r="L3">
        <v>13.64</v>
      </c>
      <c r="M3">
        <v>47.13</v>
      </c>
      <c r="N3">
        <v>10.78</v>
      </c>
      <c r="O3">
        <v>50.94</v>
      </c>
      <c r="P3">
        <v>9.84</v>
      </c>
      <c r="Q3">
        <v>43.15</v>
      </c>
      <c r="R3">
        <v>9.2100000000000009</v>
      </c>
      <c r="S3">
        <v>59210</v>
      </c>
    </row>
    <row r="4" spans="1:19">
      <c r="A4" s="17" t="s">
        <v>323</v>
      </c>
      <c r="B4" s="17"/>
    </row>
    <row r="5" spans="1:19">
      <c r="A5" s="17" t="s">
        <v>324</v>
      </c>
      <c r="B5" s="17"/>
    </row>
    <row r="10" spans="1:19">
      <c r="A10" s="18" t="s">
        <v>325</v>
      </c>
      <c r="B10" s="18" t="s">
        <v>326</v>
      </c>
      <c r="C10" s="18" t="s">
        <v>327</v>
      </c>
    </row>
    <row r="11" spans="1:19">
      <c r="A11" s="18" t="str">
        <f>IF(Portfolio!D3&lt;&gt;"",Portfolio!D3,"")</f>
        <v>AMBV4</v>
      </c>
      <c r="B11" s="18">
        <f>IF(A11&lt;&gt;"",3,"")</f>
        <v>3</v>
      </c>
      <c r="C11" s="18">
        <f>IF(A11&lt;&gt;"",1,"")</f>
        <v>1</v>
      </c>
    </row>
    <row r="12" spans="1:19">
      <c r="A12" s="18" t="str">
        <f>IF(Portfolio!D4&lt;&gt;"",Portfolio!D4,"")</f>
        <v>BRPR3</v>
      </c>
      <c r="B12" s="18">
        <f t="shared" ref="B12:B75" si="0">IF(A12&lt;&gt;"",3,"")</f>
        <v>3</v>
      </c>
      <c r="C12" s="18">
        <f t="shared" ref="C12:C75" si="1">IF(A12&lt;&gt;"",1,"")</f>
        <v>1</v>
      </c>
    </row>
    <row r="13" spans="1:19">
      <c r="A13" s="18" t="str">
        <f>IF(Portfolio!D5&lt;&gt;"",Portfolio!D5,"")</f>
        <v>BVMF3</v>
      </c>
      <c r="B13" s="18">
        <f t="shared" si="0"/>
        <v>3</v>
      </c>
      <c r="C13" s="18">
        <f t="shared" si="1"/>
        <v>1</v>
      </c>
    </row>
    <row r="14" spans="1:19">
      <c r="A14" s="18" t="str">
        <f>IF(Portfolio!D6&lt;&gt;"",Portfolio!D6,"")</f>
        <v>CIEL3</v>
      </c>
      <c r="B14" s="18">
        <f t="shared" si="0"/>
        <v>3</v>
      </c>
      <c r="C14" s="18">
        <f t="shared" si="1"/>
        <v>1</v>
      </c>
    </row>
    <row r="15" spans="1:19">
      <c r="A15" s="18" t="str">
        <f>IF(Portfolio!D7&lt;&gt;"",Portfolio!D7,"")</f>
        <v>CMIG4</v>
      </c>
      <c r="B15" s="18">
        <f t="shared" si="0"/>
        <v>3</v>
      </c>
      <c r="C15" s="18">
        <f t="shared" si="1"/>
        <v>1</v>
      </c>
    </row>
    <row r="16" spans="1:19">
      <c r="A16" s="18" t="str">
        <f>IF(Portfolio!D8&lt;&gt;"",Portfolio!D8,"")</f>
        <v>DASA3</v>
      </c>
      <c r="B16" s="18">
        <f t="shared" si="0"/>
        <v>3</v>
      </c>
      <c r="C16" s="18">
        <f t="shared" si="1"/>
        <v>1</v>
      </c>
    </row>
    <row r="17" spans="1:3">
      <c r="A17" s="18" t="str">
        <f>IF(Portfolio!D9&lt;&gt;"",Portfolio!D9,"")</f>
        <v>ELPL4</v>
      </c>
      <c r="B17" s="18">
        <f t="shared" si="0"/>
        <v>3</v>
      </c>
      <c r="C17" s="18">
        <f t="shared" si="1"/>
        <v>1</v>
      </c>
    </row>
    <row r="18" spans="1:3">
      <c r="A18" s="18" t="str">
        <f>IF(Portfolio!D10&lt;&gt;"",Portfolio!D10,"")</f>
        <v>HYPE3</v>
      </c>
      <c r="B18" s="18">
        <f t="shared" si="0"/>
        <v>3</v>
      </c>
      <c r="C18" s="18">
        <f t="shared" si="1"/>
        <v>1</v>
      </c>
    </row>
    <row r="19" spans="1:3">
      <c r="A19" s="18" t="str">
        <f>IF(Portfolio!D11&lt;&gt;"",Portfolio!D11,"")</f>
        <v>IGTA3</v>
      </c>
      <c r="B19" s="18">
        <f t="shared" si="0"/>
        <v>3</v>
      </c>
      <c r="C19" s="18">
        <f t="shared" si="1"/>
        <v>1</v>
      </c>
    </row>
    <row r="20" spans="1:3">
      <c r="A20" s="18" t="str">
        <f>IF(Portfolio!D12&lt;&gt;"",Portfolio!D12,"")</f>
        <v>MGLU3</v>
      </c>
      <c r="B20" s="18">
        <f t="shared" si="0"/>
        <v>3</v>
      </c>
      <c r="C20" s="18">
        <f t="shared" si="1"/>
        <v>1</v>
      </c>
    </row>
    <row r="21" spans="1:3">
      <c r="A21" s="18" t="str">
        <f>IF(Portfolio!D13&lt;&gt;"",Portfolio!D13,"")</f>
        <v>MULT3</v>
      </c>
      <c r="B21" s="18">
        <f t="shared" si="0"/>
        <v>3</v>
      </c>
      <c r="C21" s="18">
        <f t="shared" si="1"/>
        <v>1</v>
      </c>
    </row>
    <row r="22" spans="1:3">
      <c r="A22" s="18" t="str">
        <f>IF(Portfolio!D14&lt;&gt;"",Portfolio!D14,"")</f>
        <v>RAPT4</v>
      </c>
      <c r="B22" s="18">
        <f t="shared" si="0"/>
        <v>3</v>
      </c>
      <c r="C22" s="18">
        <f t="shared" si="1"/>
        <v>1</v>
      </c>
    </row>
    <row r="23" spans="1:3">
      <c r="A23" s="18" t="str">
        <f>IF(Portfolio!D15&lt;&gt;"",Portfolio!D15,"")</f>
        <v>UGPA3</v>
      </c>
      <c r="B23" s="18">
        <f t="shared" si="0"/>
        <v>3</v>
      </c>
      <c r="C23" s="18">
        <f t="shared" si="1"/>
        <v>1</v>
      </c>
    </row>
    <row r="24" spans="1:3">
      <c r="A24" s="18" t="str">
        <f>IF(Portfolio!D16&lt;&gt;"",Portfolio!D16,"")</f>
        <v>USIM3</v>
      </c>
      <c r="B24" s="18">
        <f t="shared" si="0"/>
        <v>3</v>
      </c>
      <c r="C24" s="18">
        <f t="shared" si="1"/>
        <v>1</v>
      </c>
    </row>
    <row r="25" spans="1:3">
      <c r="A25" s="18" t="str">
        <f>IF(Portfolio!D17&lt;&gt;"",Portfolio!D17,"")</f>
        <v>WINV12</v>
      </c>
      <c r="B25" s="18">
        <f t="shared" si="0"/>
        <v>3</v>
      </c>
      <c r="C25" s="18">
        <f t="shared" si="1"/>
        <v>1</v>
      </c>
    </row>
    <row r="26" spans="1:3">
      <c r="A26" s="18" t="str">
        <f>IF(Portfolio!D18&lt;&gt;"",Portfolio!D18,"")</f>
        <v/>
      </c>
      <c r="B26" s="18" t="str">
        <f t="shared" si="0"/>
        <v/>
      </c>
      <c r="C26" s="18" t="str">
        <f t="shared" si="1"/>
        <v/>
      </c>
    </row>
    <row r="27" spans="1:3">
      <c r="A27" s="18" t="str">
        <f>IF(Portfolio!D19&lt;&gt;"",Portfolio!D19,"")</f>
        <v/>
      </c>
      <c r="B27" s="18" t="str">
        <f t="shared" si="0"/>
        <v/>
      </c>
      <c r="C27" s="18" t="str">
        <f t="shared" si="1"/>
        <v/>
      </c>
    </row>
    <row r="28" spans="1:3">
      <c r="A28" s="18" t="str">
        <f>IF(Portfolio!D20&lt;&gt;"",Portfolio!D20,"")</f>
        <v/>
      </c>
      <c r="B28" s="18" t="str">
        <f t="shared" si="0"/>
        <v/>
      </c>
      <c r="C28" s="18" t="str">
        <f t="shared" si="1"/>
        <v/>
      </c>
    </row>
    <row r="29" spans="1:3">
      <c r="A29" s="18" t="str">
        <f>IF(Portfolio!D21&lt;&gt;"",Portfolio!D21,"")</f>
        <v/>
      </c>
      <c r="B29" s="18" t="str">
        <f t="shared" si="0"/>
        <v/>
      </c>
      <c r="C29" s="18" t="str">
        <f t="shared" si="1"/>
        <v/>
      </c>
    </row>
    <row r="30" spans="1:3">
      <c r="A30" s="18" t="str">
        <f>IF(Portfolio!D22&lt;&gt;"",Portfolio!D22,"")</f>
        <v/>
      </c>
      <c r="B30" s="18" t="str">
        <f t="shared" si="0"/>
        <v/>
      </c>
      <c r="C30" s="18" t="str">
        <f t="shared" si="1"/>
        <v/>
      </c>
    </row>
    <row r="31" spans="1:3">
      <c r="A31" s="18" t="str">
        <f>IF(Portfolio!D23&lt;&gt;"",Portfolio!D23,"")</f>
        <v/>
      </c>
      <c r="B31" s="18" t="str">
        <f t="shared" si="0"/>
        <v/>
      </c>
      <c r="C31" s="18" t="str">
        <f t="shared" si="1"/>
        <v/>
      </c>
    </row>
    <row r="32" spans="1:3">
      <c r="A32" s="18" t="str">
        <f>IF(Portfolio!D24&lt;&gt;"",Portfolio!D24,"")</f>
        <v/>
      </c>
      <c r="B32" s="18" t="str">
        <f t="shared" si="0"/>
        <v/>
      </c>
      <c r="C32" s="18" t="str">
        <f t="shared" si="1"/>
        <v/>
      </c>
    </row>
    <row r="33" spans="1:3">
      <c r="A33" s="18" t="str">
        <f>IF(Portfolio!D25&lt;&gt;"",Portfolio!D25,"")</f>
        <v/>
      </c>
      <c r="B33" s="18" t="str">
        <f t="shared" si="0"/>
        <v/>
      </c>
      <c r="C33" s="18" t="str">
        <f t="shared" si="1"/>
        <v/>
      </c>
    </row>
    <row r="34" spans="1:3">
      <c r="A34" s="18" t="str">
        <f>IF(Portfolio!D26&lt;&gt;"",Portfolio!D26,"")</f>
        <v/>
      </c>
      <c r="B34" s="18" t="str">
        <f t="shared" si="0"/>
        <v/>
      </c>
      <c r="C34" s="18" t="str">
        <f t="shared" si="1"/>
        <v/>
      </c>
    </row>
    <row r="35" spans="1:3">
      <c r="A35" s="18" t="str">
        <f>IF(Portfolio!D27&lt;&gt;"",Portfolio!D27,"")</f>
        <v/>
      </c>
      <c r="B35" s="18" t="str">
        <f t="shared" si="0"/>
        <v/>
      </c>
      <c r="C35" s="18" t="str">
        <f t="shared" si="1"/>
        <v/>
      </c>
    </row>
    <row r="36" spans="1:3">
      <c r="A36" s="18" t="str">
        <f>IF(Portfolio!D28&lt;&gt;"",Portfolio!D28,"")</f>
        <v/>
      </c>
      <c r="B36" s="18" t="str">
        <f t="shared" si="0"/>
        <v/>
      </c>
      <c r="C36" s="18" t="str">
        <f t="shared" si="1"/>
        <v/>
      </c>
    </row>
    <row r="37" spans="1:3">
      <c r="A37" s="18" t="str">
        <f>IF(Portfolio!D29&lt;&gt;"",Portfolio!D29,"")</f>
        <v/>
      </c>
      <c r="B37" s="18" t="str">
        <f t="shared" si="0"/>
        <v/>
      </c>
      <c r="C37" s="18" t="str">
        <f t="shared" si="1"/>
        <v/>
      </c>
    </row>
    <row r="38" spans="1:3">
      <c r="A38" s="18" t="str">
        <f>IF(Portfolio!D30&lt;&gt;"",Portfolio!D30,"")</f>
        <v/>
      </c>
      <c r="B38" s="18" t="str">
        <f t="shared" si="0"/>
        <v/>
      </c>
      <c r="C38" s="18" t="str">
        <f t="shared" si="1"/>
        <v/>
      </c>
    </row>
    <row r="39" spans="1:3">
      <c r="A39" s="18" t="str">
        <f>IF(Portfolio!D31&lt;&gt;"",Portfolio!D31,"")</f>
        <v/>
      </c>
      <c r="B39" s="18" t="str">
        <f t="shared" si="0"/>
        <v/>
      </c>
      <c r="C39" s="18" t="str">
        <f t="shared" si="1"/>
        <v/>
      </c>
    </row>
    <row r="40" spans="1:3">
      <c r="A40" s="18" t="str">
        <f>IF(Portfolio!D32&lt;&gt;"",Portfolio!D32,"")</f>
        <v/>
      </c>
      <c r="B40" s="18" t="str">
        <f t="shared" si="0"/>
        <v/>
      </c>
      <c r="C40" s="18" t="str">
        <f t="shared" si="1"/>
        <v/>
      </c>
    </row>
    <row r="41" spans="1:3">
      <c r="A41" s="18" t="str">
        <f>IF(Portfolio!D33&lt;&gt;"",Portfolio!D33,"")</f>
        <v/>
      </c>
      <c r="B41" s="18" t="str">
        <f t="shared" si="0"/>
        <v/>
      </c>
      <c r="C41" s="18" t="str">
        <f t="shared" si="1"/>
        <v/>
      </c>
    </row>
    <row r="42" spans="1:3">
      <c r="A42" s="18" t="str">
        <f>IF(Portfolio!D34&lt;&gt;"",Portfolio!D34,"")</f>
        <v/>
      </c>
      <c r="B42" s="18" t="str">
        <f t="shared" si="0"/>
        <v/>
      </c>
      <c r="C42" s="18" t="str">
        <f t="shared" si="1"/>
        <v/>
      </c>
    </row>
    <row r="43" spans="1:3">
      <c r="A43" s="18" t="str">
        <f>IF(Portfolio!D35&lt;&gt;"",Portfolio!D35,"")</f>
        <v/>
      </c>
      <c r="B43" s="18" t="str">
        <f t="shared" si="0"/>
        <v/>
      </c>
      <c r="C43" s="18" t="str">
        <f t="shared" si="1"/>
        <v/>
      </c>
    </row>
    <row r="44" spans="1:3">
      <c r="A44" s="18" t="str">
        <f>IF(Portfolio!D36&lt;&gt;"",Portfolio!D36,"")</f>
        <v/>
      </c>
      <c r="B44" s="18" t="str">
        <f t="shared" si="0"/>
        <v/>
      </c>
      <c r="C44" s="18" t="str">
        <f t="shared" si="1"/>
        <v/>
      </c>
    </row>
    <row r="45" spans="1:3">
      <c r="A45" s="18" t="str">
        <f>IF(Portfolio!D37&lt;&gt;"",Portfolio!D37,"")</f>
        <v/>
      </c>
      <c r="B45" s="18" t="str">
        <f t="shared" si="0"/>
        <v/>
      </c>
      <c r="C45" s="18" t="str">
        <f t="shared" si="1"/>
        <v/>
      </c>
    </row>
    <row r="46" spans="1:3">
      <c r="A46" s="18" t="str">
        <f>IF(Portfolio!D38&lt;&gt;"",Portfolio!D38,"")</f>
        <v/>
      </c>
      <c r="B46" s="18" t="str">
        <f t="shared" si="0"/>
        <v/>
      </c>
      <c r="C46" s="18" t="str">
        <f t="shared" si="1"/>
        <v/>
      </c>
    </row>
    <row r="47" spans="1:3">
      <c r="A47" s="18" t="str">
        <f>IF(Portfolio!D39&lt;&gt;"",Portfolio!D39,"")</f>
        <v/>
      </c>
      <c r="B47" s="18" t="str">
        <f t="shared" si="0"/>
        <v/>
      </c>
      <c r="C47" s="18" t="str">
        <f t="shared" si="1"/>
        <v/>
      </c>
    </row>
    <row r="48" spans="1:3">
      <c r="A48" s="18" t="str">
        <f>IF(Portfolio!D40&lt;&gt;"",Portfolio!D40,"")</f>
        <v/>
      </c>
      <c r="B48" s="18" t="str">
        <f t="shared" si="0"/>
        <v/>
      </c>
      <c r="C48" s="18" t="str">
        <f t="shared" si="1"/>
        <v/>
      </c>
    </row>
    <row r="49" spans="1:3">
      <c r="A49" s="18" t="str">
        <f>IF(Portfolio!D41&lt;&gt;"",Portfolio!D41,"")</f>
        <v/>
      </c>
      <c r="B49" s="18" t="str">
        <f t="shared" si="0"/>
        <v/>
      </c>
      <c r="C49" s="18" t="str">
        <f t="shared" si="1"/>
        <v/>
      </c>
    </row>
    <row r="50" spans="1:3">
      <c r="A50" s="18" t="str">
        <f>IF(Portfolio!D42&lt;&gt;"",Portfolio!D42,"")</f>
        <v/>
      </c>
      <c r="B50" s="18" t="str">
        <f t="shared" si="0"/>
        <v/>
      </c>
      <c r="C50" s="18" t="str">
        <f t="shared" si="1"/>
        <v/>
      </c>
    </row>
    <row r="51" spans="1:3">
      <c r="A51" s="18" t="str">
        <f>IF(Portfolio!D43&lt;&gt;"",Portfolio!D43,"")</f>
        <v/>
      </c>
      <c r="B51" s="18" t="str">
        <f t="shared" si="0"/>
        <v/>
      </c>
      <c r="C51" s="18" t="str">
        <f t="shared" si="1"/>
        <v/>
      </c>
    </row>
    <row r="52" spans="1:3">
      <c r="A52" s="18" t="str">
        <f>IF(Portfolio!D44&lt;&gt;"",Portfolio!D44,"")</f>
        <v/>
      </c>
      <c r="B52" s="18" t="str">
        <f t="shared" si="0"/>
        <v/>
      </c>
      <c r="C52" s="18" t="str">
        <f t="shared" si="1"/>
        <v/>
      </c>
    </row>
    <row r="53" spans="1:3">
      <c r="A53" s="18" t="str">
        <f>IF(Portfolio!D45&lt;&gt;"",Portfolio!D45,"")</f>
        <v/>
      </c>
      <c r="B53" s="18" t="str">
        <f t="shared" si="0"/>
        <v/>
      </c>
      <c r="C53" s="18" t="str">
        <f t="shared" si="1"/>
        <v/>
      </c>
    </row>
    <row r="54" spans="1:3">
      <c r="A54" s="18" t="str">
        <f>IF(Portfolio!D46&lt;&gt;"",Portfolio!D46,"")</f>
        <v/>
      </c>
      <c r="B54" s="18" t="str">
        <f t="shared" si="0"/>
        <v/>
      </c>
      <c r="C54" s="18" t="str">
        <f t="shared" si="1"/>
        <v/>
      </c>
    </row>
    <row r="55" spans="1:3">
      <c r="A55" s="18" t="str">
        <f>IF(Portfolio!D47&lt;&gt;"",Portfolio!D47,"")</f>
        <v/>
      </c>
      <c r="B55" s="18" t="str">
        <f t="shared" si="0"/>
        <v/>
      </c>
      <c r="C55" s="18" t="str">
        <f t="shared" si="1"/>
        <v/>
      </c>
    </row>
    <row r="56" spans="1:3">
      <c r="A56" s="18" t="str">
        <f>IF(Portfolio!D48&lt;&gt;"",Portfolio!D48,"")</f>
        <v/>
      </c>
      <c r="B56" s="18" t="str">
        <f t="shared" si="0"/>
        <v/>
      </c>
      <c r="C56" s="18" t="str">
        <f t="shared" si="1"/>
        <v/>
      </c>
    </row>
    <row r="57" spans="1:3">
      <c r="A57" s="18" t="str">
        <f>IF(Portfolio!D49&lt;&gt;"",Portfolio!D49,"")</f>
        <v/>
      </c>
      <c r="B57" s="18" t="str">
        <f t="shared" si="0"/>
        <v/>
      </c>
      <c r="C57" s="18" t="str">
        <f t="shared" si="1"/>
        <v/>
      </c>
    </row>
    <row r="58" spans="1:3">
      <c r="A58" s="18" t="str">
        <f>IF(Portfolio!D50&lt;&gt;"",Portfolio!D50,"")</f>
        <v/>
      </c>
      <c r="B58" s="18" t="str">
        <f t="shared" si="0"/>
        <v/>
      </c>
      <c r="C58" s="18" t="str">
        <f t="shared" si="1"/>
        <v/>
      </c>
    </row>
    <row r="59" spans="1:3">
      <c r="A59" s="18" t="str">
        <f>IF(Portfolio!D51&lt;&gt;"",Portfolio!D51,"")</f>
        <v/>
      </c>
      <c r="B59" s="18" t="str">
        <f t="shared" si="0"/>
        <v/>
      </c>
      <c r="C59" s="18" t="str">
        <f t="shared" si="1"/>
        <v/>
      </c>
    </row>
    <row r="60" spans="1:3">
      <c r="A60" s="18" t="str">
        <f>IF(Portfolio!D52&lt;&gt;"",Portfolio!D52,"")</f>
        <v/>
      </c>
      <c r="B60" s="18" t="str">
        <f t="shared" si="0"/>
        <v/>
      </c>
      <c r="C60" s="18" t="str">
        <f t="shared" si="1"/>
        <v/>
      </c>
    </row>
    <row r="61" spans="1:3">
      <c r="A61" s="18" t="str">
        <f>IF(Portfolio!D53&lt;&gt;"",Portfolio!D53,"")</f>
        <v/>
      </c>
      <c r="B61" s="18" t="str">
        <f t="shared" si="0"/>
        <v/>
      </c>
      <c r="C61" s="18" t="str">
        <f t="shared" si="1"/>
        <v/>
      </c>
    </row>
    <row r="62" spans="1:3">
      <c r="A62" s="18" t="str">
        <f>IF(Portfolio!D54&lt;&gt;"",Portfolio!D54,"")</f>
        <v/>
      </c>
      <c r="B62" s="18" t="str">
        <f t="shared" si="0"/>
        <v/>
      </c>
      <c r="C62" s="18" t="str">
        <f t="shared" si="1"/>
        <v/>
      </c>
    </row>
    <row r="63" spans="1:3">
      <c r="A63" s="18" t="str">
        <f>IF(Portfolio!D55&lt;&gt;"",Portfolio!D55,"")</f>
        <v/>
      </c>
      <c r="B63" s="18" t="str">
        <f t="shared" si="0"/>
        <v/>
      </c>
      <c r="C63" s="18" t="str">
        <f t="shared" si="1"/>
        <v/>
      </c>
    </row>
    <row r="64" spans="1:3">
      <c r="A64" s="18" t="str">
        <f>IF(Portfolio!D56&lt;&gt;"",Portfolio!D56,"")</f>
        <v/>
      </c>
      <c r="B64" s="18" t="str">
        <f t="shared" si="0"/>
        <v/>
      </c>
      <c r="C64" s="18" t="str">
        <f t="shared" si="1"/>
        <v/>
      </c>
    </row>
    <row r="65" spans="1:3">
      <c r="A65" s="18" t="str">
        <f>IF(Portfolio!D57&lt;&gt;"",Portfolio!D57,"")</f>
        <v/>
      </c>
      <c r="B65" s="18" t="str">
        <f t="shared" si="0"/>
        <v/>
      </c>
      <c r="C65" s="18" t="str">
        <f t="shared" si="1"/>
        <v/>
      </c>
    </row>
    <row r="66" spans="1:3">
      <c r="A66" s="18" t="str">
        <f>IF(Portfolio!D58&lt;&gt;"",Portfolio!D58,"")</f>
        <v/>
      </c>
      <c r="B66" s="18" t="str">
        <f t="shared" si="0"/>
        <v/>
      </c>
      <c r="C66" s="18" t="str">
        <f t="shared" si="1"/>
        <v/>
      </c>
    </row>
    <row r="67" spans="1:3">
      <c r="A67" s="18" t="str">
        <f>IF(Portfolio!D59&lt;&gt;"",Portfolio!D59,"")</f>
        <v/>
      </c>
      <c r="B67" s="18" t="str">
        <f t="shared" si="0"/>
        <v/>
      </c>
      <c r="C67" s="18" t="str">
        <f t="shared" si="1"/>
        <v/>
      </c>
    </row>
    <row r="68" spans="1:3">
      <c r="A68" s="18" t="str">
        <f>IF(Portfolio!D60&lt;&gt;"",Portfolio!D60,"")</f>
        <v/>
      </c>
      <c r="B68" s="18" t="str">
        <f t="shared" si="0"/>
        <v/>
      </c>
      <c r="C68" s="18" t="str">
        <f t="shared" si="1"/>
        <v/>
      </c>
    </row>
    <row r="69" spans="1:3">
      <c r="A69" s="18" t="str">
        <f>IF(Portfolio!D61&lt;&gt;"",Portfolio!D61,"")</f>
        <v/>
      </c>
      <c r="B69" s="18" t="str">
        <f t="shared" si="0"/>
        <v/>
      </c>
      <c r="C69" s="18" t="str">
        <f t="shared" si="1"/>
        <v/>
      </c>
    </row>
    <row r="70" spans="1:3">
      <c r="A70" s="18" t="str">
        <f>IF(Portfolio!D62&lt;&gt;"",Portfolio!D62,"")</f>
        <v/>
      </c>
      <c r="B70" s="18" t="str">
        <f t="shared" si="0"/>
        <v/>
      </c>
      <c r="C70" s="18" t="str">
        <f t="shared" si="1"/>
        <v/>
      </c>
    </row>
    <row r="71" spans="1:3">
      <c r="A71" s="18" t="str">
        <f>IF(Portfolio!D63&lt;&gt;"",Portfolio!D63,"")</f>
        <v/>
      </c>
      <c r="B71" s="18" t="str">
        <f t="shared" si="0"/>
        <v/>
      </c>
      <c r="C71" s="18" t="str">
        <f t="shared" si="1"/>
        <v/>
      </c>
    </row>
    <row r="72" spans="1:3">
      <c r="A72" s="18" t="str">
        <f>IF(Portfolio!D64&lt;&gt;"",Portfolio!D64,"")</f>
        <v/>
      </c>
      <c r="B72" s="18" t="str">
        <f t="shared" si="0"/>
        <v/>
      </c>
      <c r="C72" s="18" t="str">
        <f t="shared" si="1"/>
        <v/>
      </c>
    </row>
    <row r="73" spans="1:3">
      <c r="A73" s="18" t="str">
        <f>IF(Portfolio!D65&lt;&gt;"",Portfolio!D65,"")</f>
        <v/>
      </c>
      <c r="B73" s="18" t="str">
        <f t="shared" si="0"/>
        <v/>
      </c>
      <c r="C73" s="18" t="str">
        <f t="shared" si="1"/>
        <v/>
      </c>
    </row>
    <row r="74" spans="1:3">
      <c r="A74" s="18" t="str">
        <f>IF(Portfolio!D66&lt;&gt;"",Portfolio!D66,"")</f>
        <v/>
      </c>
      <c r="B74" s="18" t="str">
        <f t="shared" si="0"/>
        <v/>
      </c>
      <c r="C74" s="18" t="str">
        <f t="shared" si="1"/>
        <v/>
      </c>
    </row>
    <row r="75" spans="1:3">
      <c r="A75" s="18" t="str">
        <f>IF(Portfolio!D67&lt;&gt;"",Portfolio!D67,"")</f>
        <v/>
      </c>
      <c r="B75" s="18" t="str">
        <f t="shared" si="0"/>
        <v/>
      </c>
      <c r="C75" s="18" t="str">
        <f t="shared" si="1"/>
        <v/>
      </c>
    </row>
    <row r="76" spans="1:3">
      <c r="A76" s="18" t="str">
        <f>IF(Portfolio!D68&lt;&gt;"",Portfolio!D68,"")</f>
        <v/>
      </c>
      <c r="B76" s="18" t="str">
        <f t="shared" ref="B76:B100" si="2">IF(A76&lt;&gt;"",3,"")</f>
        <v/>
      </c>
      <c r="C76" s="18" t="str">
        <f t="shared" ref="C76:C100" si="3">IF(A76&lt;&gt;"",1,"")</f>
        <v/>
      </c>
    </row>
    <row r="77" spans="1:3">
      <c r="A77" s="18" t="str">
        <f>IF(Portfolio!D69&lt;&gt;"",Portfolio!D69,"")</f>
        <v/>
      </c>
      <c r="B77" s="18" t="str">
        <f t="shared" si="2"/>
        <v/>
      </c>
      <c r="C77" s="18" t="str">
        <f t="shared" si="3"/>
        <v/>
      </c>
    </row>
    <row r="78" spans="1:3">
      <c r="A78" s="18" t="str">
        <f>IF(Portfolio!D70&lt;&gt;"",Portfolio!D70,"")</f>
        <v/>
      </c>
      <c r="B78" s="18" t="str">
        <f t="shared" si="2"/>
        <v/>
      </c>
      <c r="C78" s="18" t="str">
        <f t="shared" si="3"/>
        <v/>
      </c>
    </row>
    <row r="79" spans="1:3">
      <c r="A79" s="18" t="str">
        <f>IF(Portfolio!D71&lt;&gt;"",Portfolio!D71,"")</f>
        <v/>
      </c>
      <c r="B79" s="18" t="str">
        <f t="shared" si="2"/>
        <v/>
      </c>
      <c r="C79" s="18" t="str">
        <f t="shared" si="3"/>
        <v/>
      </c>
    </row>
    <row r="80" spans="1:3">
      <c r="A80" s="18" t="str">
        <f>IF(Portfolio!D72&lt;&gt;"",Portfolio!D72,"")</f>
        <v/>
      </c>
      <c r="B80" s="18" t="str">
        <f t="shared" si="2"/>
        <v/>
      </c>
      <c r="C80" s="18" t="str">
        <f t="shared" si="3"/>
        <v/>
      </c>
    </row>
    <row r="81" spans="1:3">
      <c r="A81" s="18" t="str">
        <f>IF(Portfolio!D73&lt;&gt;"",Portfolio!D73,"")</f>
        <v/>
      </c>
      <c r="B81" s="18" t="str">
        <f t="shared" si="2"/>
        <v/>
      </c>
      <c r="C81" s="18" t="str">
        <f t="shared" si="3"/>
        <v/>
      </c>
    </row>
    <row r="82" spans="1:3">
      <c r="A82" s="18" t="str">
        <f>IF(Portfolio!D74&lt;&gt;"",Portfolio!D74,"")</f>
        <v/>
      </c>
      <c r="B82" s="18" t="str">
        <f t="shared" si="2"/>
        <v/>
      </c>
      <c r="C82" s="18" t="str">
        <f t="shared" si="3"/>
        <v/>
      </c>
    </row>
    <row r="83" spans="1:3">
      <c r="A83" s="18" t="str">
        <f>IF(Portfolio!D75&lt;&gt;"",Portfolio!D75,"")</f>
        <v/>
      </c>
      <c r="B83" s="18" t="str">
        <f t="shared" si="2"/>
        <v/>
      </c>
      <c r="C83" s="18" t="str">
        <f t="shared" si="3"/>
        <v/>
      </c>
    </row>
    <row r="84" spans="1:3">
      <c r="A84" s="18" t="str">
        <f>IF(Portfolio!D76&lt;&gt;"",Portfolio!D76,"")</f>
        <v/>
      </c>
      <c r="B84" s="18" t="str">
        <f t="shared" si="2"/>
        <v/>
      </c>
      <c r="C84" s="18" t="str">
        <f t="shared" si="3"/>
        <v/>
      </c>
    </row>
    <row r="85" spans="1:3">
      <c r="A85" s="18" t="str">
        <f>IF(Portfolio!D77&lt;&gt;"",Portfolio!D77,"")</f>
        <v/>
      </c>
      <c r="B85" s="18" t="str">
        <f t="shared" si="2"/>
        <v/>
      </c>
      <c r="C85" s="18" t="str">
        <f t="shared" si="3"/>
        <v/>
      </c>
    </row>
    <row r="86" spans="1:3">
      <c r="A86" s="18" t="str">
        <f>IF(Portfolio!D78&lt;&gt;"",Portfolio!D78,"")</f>
        <v/>
      </c>
      <c r="B86" s="18" t="str">
        <f t="shared" si="2"/>
        <v/>
      </c>
      <c r="C86" s="18" t="str">
        <f t="shared" si="3"/>
        <v/>
      </c>
    </row>
    <row r="87" spans="1:3">
      <c r="A87" s="18" t="str">
        <f>IF(Portfolio!D79&lt;&gt;"",Portfolio!D79,"")</f>
        <v/>
      </c>
      <c r="B87" s="18" t="str">
        <f t="shared" si="2"/>
        <v/>
      </c>
      <c r="C87" s="18" t="str">
        <f t="shared" si="3"/>
        <v/>
      </c>
    </row>
    <row r="88" spans="1:3">
      <c r="A88" s="18" t="str">
        <f>IF(Portfolio!D80&lt;&gt;"",Portfolio!D80,"")</f>
        <v/>
      </c>
      <c r="B88" s="18" t="str">
        <f t="shared" si="2"/>
        <v/>
      </c>
      <c r="C88" s="18" t="str">
        <f t="shared" si="3"/>
        <v/>
      </c>
    </row>
    <row r="89" spans="1:3">
      <c r="A89" s="18" t="str">
        <f>IF(Portfolio!D81&lt;&gt;"",Portfolio!D81,"")</f>
        <v/>
      </c>
      <c r="B89" s="18" t="str">
        <f t="shared" si="2"/>
        <v/>
      </c>
      <c r="C89" s="18" t="str">
        <f t="shared" si="3"/>
        <v/>
      </c>
    </row>
    <row r="90" spans="1:3">
      <c r="A90" s="18" t="str">
        <f>IF(Portfolio!D82&lt;&gt;"",Portfolio!D82,"")</f>
        <v/>
      </c>
      <c r="B90" s="18" t="str">
        <f t="shared" si="2"/>
        <v/>
      </c>
      <c r="C90" s="18" t="str">
        <f t="shared" si="3"/>
        <v/>
      </c>
    </row>
    <row r="91" spans="1:3">
      <c r="A91" s="18" t="str">
        <f>IF(Portfolio!D83&lt;&gt;"",Portfolio!D83,"")</f>
        <v/>
      </c>
      <c r="B91" s="18" t="str">
        <f t="shared" si="2"/>
        <v/>
      </c>
      <c r="C91" s="18" t="str">
        <f t="shared" si="3"/>
        <v/>
      </c>
    </row>
    <row r="92" spans="1:3">
      <c r="A92" s="18" t="str">
        <f>IF(Portfolio!D84&lt;&gt;"",Portfolio!D84,"")</f>
        <v/>
      </c>
      <c r="B92" s="18" t="str">
        <f t="shared" si="2"/>
        <v/>
      </c>
      <c r="C92" s="18" t="str">
        <f t="shared" si="3"/>
        <v/>
      </c>
    </row>
    <row r="93" spans="1:3">
      <c r="A93" s="18" t="str">
        <f>IF(Portfolio!D85&lt;&gt;"",Portfolio!D85,"")</f>
        <v/>
      </c>
      <c r="B93" s="18" t="str">
        <f t="shared" si="2"/>
        <v/>
      </c>
      <c r="C93" s="18" t="str">
        <f t="shared" si="3"/>
        <v/>
      </c>
    </row>
    <row r="94" spans="1:3">
      <c r="A94" s="18" t="str">
        <f>IF(Portfolio!D86&lt;&gt;"",Portfolio!D86,"")</f>
        <v/>
      </c>
      <c r="B94" s="18" t="str">
        <f t="shared" si="2"/>
        <v/>
      </c>
      <c r="C94" s="18" t="str">
        <f t="shared" si="3"/>
        <v/>
      </c>
    </row>
    <row r="95" spans="1:3">
      <c r="A95" s="18" t="str">
        <f>IF(Portfolio!D87&lt;&gt;"",Portfolio!D87,"")</f>
        <v/>
      </c>
      <c r="B95" s="18" t="str">
        <f t="shared" si="2"/>
        <v/>
      </c>
      <c r="C95" s="18" t="str">
        <f t="shared" si="3"/>
        <v/>
      </c>
    </row>
    <row r="96" spans="1:3">
      <c r="A96" s="18" t="str">
        <f>IF(Portfolio!D88&lt;&gt;"",Portfolio!D88,"")</f>
        <v/>
      </c>
      <c r="B96" s="18" t="str">
        <f t="shared" si="2"/>
        <v/>
      </c>
      <c r="C96" s="18" t="str">
        <f t="shared" si="3"/>
        <v/>
      </c>
    </row>
    <row r="97" spans="1:3">
      <c r="A97" s="18" t="str">
        <f>IF(Portfolio!D89&lt;&gt;"",Portfolio!D89,"")</f>
        <v/>
      </c>
      <c r="B97" s="18" t="str">
        <f t="shared" si="2"/>
        <v/>
      </c>
      <c r="C97" s="18" t="str">
        <f t="shared" si="3"/>
        <v/>
      </c>
    </row>
    <row r="98" spans="1:3">
      <c r="A98" s="18" t="str">
        <f>IF(Portfolio!D90&lt;&gt;"",Portfolio!D90,"")</f>
        <v/>
      </c>
      <c r="B98" s="18" t="str">
        <f t="shared" si="2"/>
        <v/>
      </c>
      <c r="C98" s="18" t="str">
        <f t="shared" si="3"/>
        <v/>
      </c>
    </row>
    <row r="99" spans="1:3">
      <c r="A99" s="18" t="str">
        <f>IF(Portfolio!D91&lt;&gt;"",Portfolio!D91,"")</f>
        <v/>
      </c>
      <c r="B99" s="18" t="str">
        <f t="shared" si="2"/>
        <v/>
      </c>
      <c r="C99" s="18" t="str">
        <f t="shared" si="3"/>
        <v/>
      </c>
    </row>
    <row r="100" spans="1:3">
      <c r="A100" s="18" t="str">
        <f>IF(Portfolio!D92&lt;&gt;"",Portfolio!D92,"")</f>
        <v/>
      </c>
      <c r="B100" s="18" t="str">
        <f t="shared" si="2"/>
        <v/>
      </c>
      <c r="C100" s="18" t="str">
        <f t="shared" si="3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S100"/>
  <sheetViews>
    <sheetView workbookViewId="0">
      <selection activeCell="E1" sqref="E1:CA3"/>
    </sheetView>
  </sheetViews>
  <sheetFormatPr defaultRowHeight="12.75"/>
  <cols>
    <col min="4" max="4" width="9.140625" style="20"/>
  </cols>
  <sheetData>
    <row r="1" spans="1:19">
      <c r="A1" s="17" t="s">
        <v>320</v>
      </c>
      <c r="B1" s="21">
        <f ca="1">IF(WEEKDAY(TODAY(),1)=2,TODAY()-3,TODAY()-1)</f>
        <v>41142</v>
      </c>
      <c r="D1" s="19"/>
      <c r="E1" t="s">
        <v>337</v>
      </c>
      <c r="F1" t="s">
        <v>340</v>
      </c>
      <c r="G1" t="s">
        <v>341</v>
      </c>
      <c r="H1" t="s">
        <v>342</v>
      </c>
      <c r="I1" t="s">
        <v>338</v>
      </c>
      <c r="J1" t="s">
        <v>343</v>
      </c>
      <c r="K1" t="s">
        <v>344</v>
      </c>
      <c r="L1" t="s">
        <v>345</v>
      </c>
      <c r="M1" t="s">
        <v>346</v>
      </c>
      <c r="N1" t="s">
        <v>339</v>
      </c>
      <c r="O1" t="s">
        <v>347</v>
      </c>
      <c r="P1" t="s">
        <v>348</v>
      </c>
      <c r="Q1" t="s">
        <v>349</v>
      </c>
      <c r="R1" t="s">
        <v>350</v>
      </c>
      <c r="S1" t="s">
        <v>336</v>
      </c>
    </row>
    <row r="2" spans="1:19">
      <c r="A2" s="17" t="s">
        <v>321</v>
      </c>
      <c r="B2" s="21">
        <f ca="1">TODAY()</f>
        <v>41143</v>
      </c>
      <c r="E2" t="s">
        <v>330</v>
      </c>
      <c r="F2" t="s">
        <v>330</v>
      </c>
      <c r="G2" t="s">
        <v>330</v>
      </c>
      <c r="H2" t="s">
        <v>330</v>
      </c>
      <c r="I2" t="s">
        <v>330</v>
      </c>
      <c r="J2" t="s">
        <v>330</v>
      </c>
      <c r="K2" t="s">
        <v>330</v>
      </c>
      <c r="L2" t="s">
        <v>330</v>
      </c>
      <c r="M2" t="s">
        <v>330</v>
      </c>
      <c r="N2" t="s">
        <v>330</v>
      </c>
      <c r="O2" t="s">
        <v>330</v>
      </c>
      <c r="P2" t="s">
        <v>330</v>
      </c>
      <c r="Q2" t="s">
        <v>330</v>
      </c>
      <c r="R2" t="s">
        <v>330</v>
      </c>
      <c r="S2" t="s">
        <v>330</v>
      </c>
    </row>
    <row r="3" spans="1:19">
      <c r="A3" s="17" t="s">
        <v>322</v>
      </c>
      <c r="B3" s="17">
        <v>1073</v>
      </c>
      <c r="D3" s="20">
        <v>41142</v>
      </c>
      <c r="E3">
        <v>76.8</v>
      </c>
      <c r="F3">
        <v>23.64</v>
      </c>
      <c r="G3">
        <v>12.23</v>
      </c>
      <c r="H3">
        <v>60.11</v>
      </c>
      <c r="I3">
        <v>39.89</v>
      </c>
      <c r="J3">
        <v>12.61</v>
      </c>
      <c r="K3">
        <v>19.649999999999999</v>
      </c>
      <c r="L3">
        <v>14.13</v>
      </c>
      <c r="M3">
        <v>47.79</v>
      </c>
      <c r="N3">
        <v>11.07</v>
      </c>
      <c r="O3">
        <v>51.64</v>
      </c>
      <c r="P3">
        <v>10.039999999999999</v>
      </c>
      <c r="Q3">
        <v>44.84</v>
      </c>
      <c r="R3">
        <v>9.6</v>
      </c>
      <c r="S3">
        <v>60870</v>
      </c>
    </row>
    <row r="4" spans="1:19">
      <c r="A4" s="17" t="s">
        <v>323</v>
      </c>
      <c r="B4" s="17"/>
    </row>
    <row r="5" spans="1:19">
      <c r="A5" s="17" t="s">
        <v>324</v>
      </c>
      <c r="B5" s="17"/>
    </row>
    <row r="10" spans="1:19">
      <c r="A10" s="18" t="s">
        <v>325</v>
      </c>
      <c r="B10" s="18" t="s">
        <v>326</v>
      </c>
      <c r="C10" s="18" t="s">
        <v>327</v>
      </c>
    </row>
    <row r="11" spans="1:19">
      <c r="A11" s="18" t="str">
        <f>IF(Portfolio!D3&lt;&gt;"",Portfolio!D3,"")</f>
        <v>AMBV4</v>
      </c>
      <c r="B11" s="18">
        <f>IF(A11&lt;&gt;"",4,"")</f>
        <v>4</v>
      </c>
      <c r="C11" s="18">
        <f>IF(A11&lt;&gt;"",1,"")</f>
        <v>1</v>
      </c>
    </row>
    <row r="12" spans="1:19">
      <c r="A12" s="18" t="str">
        <f>IF(Portfolio!D4&lt;&gt;"",Portfolio!D4,"")</f>
        <v>BRPR3</v>
      </c>
      <c r="B12" s="18">
        <f t="shared" ref="B12:B75" si="0">IF(A12&lt;&gt;"",4,"")</f>
        <v>4</v>
      </c>
      <c r="C12" s="18">
        <f t="shared" ref="C12:C75" si="1">IF(A12&lt;&gt;"",1,"")</f>
        <v>1</v>
      </c>
    </row>
    <row r="13" spans="1:19">
      <c r="A13" s="18" t="str">
        <f>IF(Portfolio!D5&lt;&gt;"",Portfolio!D5,"")</f>
        <v>BVMF3</v>
      </c>
      <c r="B13" s="18">
        <f t="shared" si="0"/>
        <v>4</v>
      </c>
      <c r="C13" s="18">
        <f t="shared" si="1"/>
        <v>1</v>
      </c>
    </row>
    <row r="14" spans="1:19">
      <c r="A14" s="18" t="str">
        <f>IF(Portfolio!D6&lt;&gt;"",Portfolio!D6,"")</f>
        <v>CIEL3</v>
      </c>
      <c r="B14" s="18">
        <f t="shared" si="0"/>
        <v>4</v>
      </c>
      <c r="C14" s="18">
        <f t="shared" si="1"/>
        <v>1</v>
      </c>
    </row>
    <row r="15" spans="1:19">
      <c r="A15" s="18" t="str">
        <f>IF(Portfolio!D7&lt;&gt;"",Portfolio!D7,"")</f>
        <v>CMIG4</v>
      </c>
      <c r="B15" s="18">
        <f t="shared" si="0"/>
        <v>4</v>
      </c>
      <c r="C15" s="18">
        <f t="shared" si="1"/>
        <v>1</v>
      </c>
    </row>
    <row r="16" spans="1:19">
      <c r="A16" s="18" t="str">
        <f>IF(Portfolio!D8&lt;&gt;"",Portfolio!D8,"")</f>
        <v>DASA3</v>
      </c>
      <c r="B16" s="18">
        <f t="shared" si="0"/>
        <v>4</v>
      </c>
      <c r="C16" s="18">
        <f t="shared" si="1"/>
        <v>1</v>
      </c>
    </row>
    <row r="17" spans="1:3">
      <c r="A17" s="18" t="str">
        <f>IF(Portfolio!D9&lt;&gt;"",Portfolio!D9,"")</f>
        <v>ELPL4</v>
      </c>
      <c r="B17" s="18">
        <f t="shared" si="0"/>
        <v>4</v>
      </c>
      <c r="C17" s="18">
        <f t="shared" si="1"/>
        <v>1</v>
      </c>
    </row>
    <row r="18" spans="1:3">
      <c r="A18" s="18" t="str">
        <f>IF(Portfolio!D10&lt;&gt;"",Portfolio!D10,"")</f>
        <v>HYPE3</v>
      </c>
      <c r="B18" s="18">
        <f t="shared" si="0"/>
        <v>4</v>
      </c>
      <c r="C18" s="18">
        <f t="shared" si="1"/>
        <v>1</v>
      </c>
    </row>
    <row r="19" spans="1:3">
      <c r="A19" s="18" t="str">
        <f>IF(Portfolio!D11&lt;&gt;"",Portfolio!D11,"")</f>
        <v>IGTA3</v>
      </c>
      <c r="B19" s="18">
        <f t="shared" si="0"/>
        <v>4</v>
      </c>
      <c r="C19" s="18">
        <f t="shared" si="1"/>
        <v>1</v>
      </c>
    </row>
    <row r="20" spans="1:3">
      <c r="A20" s="18" t="str">
        <f>IF(Portfolio!D12&lt;&gt;"",Portfolio!D12,"")</f>
        <v>MGLU3</v>
      </c>
      <c r="B20" s="18">
        <f t="shared" si="0"/>
        <v>4</v>
      </c>
      <c r="C20" s="18">
        <f t="shared" si="1"/>
        <v>1</v>
      </c>
    </row>
    <row r="21" spans="1:3">
      <c r="A21" s="18" t="str">
        <f>IF(Portfolio!D13&lt;&gt;"",Portfolio!D13,"")</f>
        <v>MULT3</v>
      </c>
      <c r="B21" s="18">
        <f t="shared" si="0"/>
        <v>4</v>
      </c>
      <c r="C21" s="18">
        <f t="shared" si="1"/>
        <v>1</v>
      </c>
    </row>
    <row r="22" spans="1:3">
      <c r="A22" s="18" t="str">
        <f>IF(Portfolio!D14&lt;&gt;"",Portfolio!D14,"")</f>
        <v>RAPT4</v>
      </c>
      <c r="B22" s="18">
        <f t="shared" si="0"/>
        <v>4</v>
      </c>
      <c r="C22" s="18">
        <f t="shared" si="1"/>
        <v>1</v>
      </c>
    </row>
    <row r="23" spans="1:3">
      <c r="A23" s="18" t="str">
        <f>IF(Portfolio!D15&lt;&gt;"",Portfolio!D15,"")</f>
        <v>UGPA3</v>
      </c>
      <c r="B23" s="18">
        <f t="shared" si="0"/>
        <v>4</v>
      </c>
      <c r="C23" s="18">
        <f t="shared" si="1"/>
        <v>1</v>
      </c>
    </row>
    <row r="24" spans="1:3">
      <c r="A24" s="18" t="str">
        <f>IF(Portfolio!D16&lt;&gt;"",Portfolio!D16,"")</f>
        <v>USIM3</v>
      </c>
      <c r="B24" s="18">
        <f t="shared" si="0"/>
        <v>4</v>
      </c>
      <c r="C24" s="18">
        <f t="shared" si="1"/>
        <v>1</v>
      </c>
    </row>
    <row r="25" spans="1:3">
      <c r="A25" s="18" t="str">
        <f>IF(Portfolio!D17&lt;&gt;"",Portfolio!D17,"")</f>
        <v>WINV12</v>
      </c>
      <c r="B25" s="18">
        <f t="shared" si="0"/>
        <v>4</v>
      </c>
      <c r="C25" s="18">
        <f t="shared" si="1"/>
        <v>1</v>
      </c>
    </row>
    <row r="26" spans="1:3">
      <c r="A26" s="18" t="str">
        <f>IF(Portfolio!D18&lt;&gt;"",Portfolio!D18,"")</f>
        <v/>
      </c>
      <c r="B26" s="18" t="str">
        <f t="shared" si="0"/>
        <v/>
      </c>
      <c r="C26" s="18" t="str">
        <f t="shared" si="1"/>
        <v/>
      </c>
    </row>
    <row r="27" spans="1:3">
      <c r="A27" s="18" t="str">
        <f>IF(Portfolio!D19&lt;&gt;"",Portfolio!D19,"")</f>
        <v/>
      </c>
      <c r="B27" s="18" t="str">
        <f t="shared" si="0"/>
        <v/>
      </c>
      <c r="C27" s="18" t="str">
        <f t="shared" si="1"/>
        <v/>
      </c>
    </row>
    <row r="28" spans="1:3">
      <c r="A28" s="18" t="str">
        <f>IF(Portfolio!D20&lt;&gt;"",Portfolio!D20,"")</f>
        <v/>
      </c>
      <c r="B28" s="18" t="str">
        <f t="shared" si="0"/>
        <v/>
      </c>
      <c r="C28" s="18" t="str">
        <f t="shared" si="1"/>
        <v/>
      </c>
    </row>
    <row r="29" spans="1:3">
      <c r="A29" s="18" t="str">
        <f>IF(Portfolio!D21&lt;&gt;"",Portfolio!D21,"")</f>
        <v/>
      </c>
      <c r="B29" s="18" t="str">
        <f t="shared" si="0"/>
        <v/>
      </c>
      <c r="C29" s="18" t="str">
        <f t="shared" si="1"/>
        <v/>
      </c>
    </row>
    <row r="30" spans="1:3">
      <c r="A30" s="18" t="str">
        <f>IF(Portfolio!D22&lt;&gt;"",Portfolio!D22,"")</f>
        <v/>
      </c>
      <c r="B30" s="18" t="str">
        <f t="shared" si="0"/>
        <v/>
      </c>
      <c r="C30" s="18" t="str">
        <f t="shared" si="1"/>
        <v/>
      </c>
    </row>
    <row r="31" spans="1:3">
      <c r="A31" s="18" t="str">
        <f>IF(Portfolio!D23&lt;&gt;"",Portfolio!D23,"")</f>
        <v/>
      </c>
      <c r="B31" s="18" t="str">
        <f t="shared" si="0"/>
        <v/>
      </c>
      <c r="C31" s="18" t="str">
        <f t="shared" si="1"/>
        <v/>
      </c>
    </row>
    <row r="32" spans="1:3">
      <c r="A32" s="18" t="str">
        <f>IF(Portfolio!D24&lt;&gt;"",Portfolio!D24,"")</f>
        <v/>
      </c>
      <c r="B32" s="18" t="str">
        <f t="shared" si="0"/>
        <v/>
      </c>
      <c r="C32" s="18" t="str">
        <f t="shared" si="1"/>
        <v/>
      </c>
    </row>
    <row r="33" spans="1:3">
      <c r="A33" s="18" t="str">
        <f>IF(Portfolio!D25&lt;&gt;"",Portfolio!D25,"")</f>
        <v/>
      </c>
      <c r="B33" s="18" t="str">
        <f t="shared" si="0"/>
        <v/>
      </c>
      <c r="C33" s="18" t="str">
        <f t="shared" si="1"/>
        <v/>
      </c>
    </row>
    <row r="34" spans="1:3">
      <c r="A34" s="18" t="str">
        <f>IF(Portfolio!D26&lt;&gt;"",Portfolio!D26,"")</f>
        <v/>
      </c>
      <c r="B34" s="18" t="str">
        <f t="shared" si="0"/>
        <v/>
      </c>
      <c r="C34" s="18" t="str">
        <f t="shared" si="1"/>
        <v/>
      </c>
    </row>
    <row r="35" spans="1:3">
      <c r="A35" s="18" t="str">
        <f>IF(Portfolio!D27&lt;&gt;"",Portfolio!D27,"")</f>
        <v/>
      </c>
      <c r="B35" s="18" t="str">
        <f t="shared" si="0"/>
        <v/>
      </c>
      <c r="C35" s="18" t="str">
        <f t="shared" si="1"/>
        <v/>
      </c>
    </row>
    <row r="36" spans="1:3">
      <c r="A36" s="18" t="str">
        <f>IF(Portfolio!D28&lt;&gt;"",Portfolio!D28,"")</f>
        <v/>
      </c>
      <c r="B36" s="18" t="str">
        <f t="shared" si="0"/>
        <v/>
      </c>
      <c r="C36" s="18" t="str">
        <f t="shared" si="1"/>
        <v/>
      </c>
    </row>
    <row r="37" spans="1:3">
      <c r="A37" s="18" t="str">
        <f>IF(Portfolio!D29&lt;&gt;"",Portfolio!D29,"")</f>
        <v/>
      </c>
      <c r="B37" s="18" t="str">
        <f t="shared" si="0"/>
        <v/>
      </c>
      <c r="C37" s="18" t="str">
        <f t="shared" si="1"/>
        <v/>
      </c>
    </row>
    <row r="38" spans="1:3">
      <c r="A38" s="18" t="str">
        <f>IF(Portfolio!D30&lt;&gt;"",Portfolio!D30,"")</f>
        <v/>
      </c>
      <c r="B38" s="18" t="str">
        <f t="shared" si="0"/>
        <v/>
      </c>
      <c r="C38" s="18" t="str">
        <f t="shared" si="1"/>
        <v/>
      </c>
    </row>
    <row r="39" spans="1:3">
      <c r="A39" s="18" t="str">
        <f>IF(Portfolio!D31&lt;&gt;"",Portfolio!D31,"")</f>
        <v/>
      </c>
      <c r="B39" s="18" t="str">
        <f t="shared" si="0"/>
        <v/>
      </c>
      <c r="C39" s="18" t="str">
        <f t="shared" si="1"/>
        <v/>
      </c>
    </row>
    <row r="40" spans="1:3">
      <c r="A40" s="18" t="str">
        <f>IF(Portfolio!D32&lt;&gt;"",Portfolio!D32,"")</f>
        <v/>
      </c>
      <c r="B40" s="18" t="str">
        <f t="shared" si="0"/>
        <v/>
      </c>
      <c r="C40" s="18" t="str">
        <f t="shared" si="1"/>
        <v/>
      </c>
    </row>
    <row r="41" spans="1:3">
      <c r="A41" s="18" t="str">
        <f>IF(Portfolio!D33&lt;&gt;"",Portfolio!D33,"")</f>
        <v/>
      </c>
      <c r="B41" s="18" t="str">
        <f t="shared" si="0"/>
        <v/>
      </c>
      <c r="C41" s="18" t="str">
        <f t="shared" si="1"/>
        <v/>
      </c>
    </row>
    <row r="42" spans="1:3">
      <c r="A42" s="18" t="str">
        <f>IF(Portfolio!D34&lt;&gt;"",Portfolio!D34,"")</f>
        <v/>
      </c>
      <c r="B42" s="18" t="str">
        <f t="shared" si="0"/>
        <v/>
      </c>
      <c r="C42" s="18" t="str">
        <f t="shared" si="1"/>
        <v/>
      </c>
    </row>
    <row r="43" spans="1:3">
      <c r="A43" s="18" t="str">
        <f>IF(Portfolio!D35&lt;&gt;"",Portfolio!D35,"")</f>
        <v/>
      </c>
      <c r="B43" s="18" t="str">
        <f t="shared" si="0"/>
        <v/>
      </c>
      <c r="C43" s="18" t="str">
        <f t="shared" si="1"/>
        <v/>
      </c>
    </row>
    <row r="44" spans="1:3">
      <c r="A44" s="18" t="str">
        <f>IF(Portfolio!D36&lt;&gt;"",Portfolio!D36,"")</f>
        <v/>
      </c>
      <c r="B44" s="18" t="str">
        <f t="shared" si="0"/>
        <v/>
      </c>
      <c r="C44" s="18" t="str">
        <f t="shared" si="1"/>
        <v/>
      </c>
    </row>
    <row r="45" spans="1:3">
      <c r="A45" s="18" t="str">
        <f>IF(Portfolio!D37&lt;&gt;"",Portfolio!D37,"")</f>
        <v/>
      </c>
      <c r="B45" s="18" t="str">
        <f t="shared" si="0"/>
        <v/>
      </c>
      <c r="C45" s="18" t="str">
        <f t="shared" si="1"/>
        <v/>
      </c>
    </row>
    <row r="46" spans="1:3">
      <c r="A46" s="18" t="str">
        <f>IF(Portfolio!D38&lt;&gt;"",Portfolio!D38,"")</f>
        <v/>
      </c>
      <c r="B46" s="18" t="str">
        <f t="shared" si="0"/>
        <v/>
      </c>
      <c r="C46" s="18" t="str">
        <f t="shared" si="1"/>
        <v/>
      </c>
    </row>
    <row r="47" spans="1:3">
      <c r="A47" s="18" t="str">
        <f>IF(Portfolio!D39&lt;&gt;"",Portfolio!D39,"")</f>
        <v/>
      </c>
      <c r="B47" s="18" t="str">
        <f t="shared" si="0"/>
        <v/>
      </c>
      <c r="C47" s="18" t="str">
        <f t="shared" si="1"/>
        <v/>
      </c>
    </row>
    <row r="48" spans="1:3">
      <c r="A48" s="18" t="str">
        <f>IF(Portfolio!D40&lt;&gt;"",Portfolio!D40,"")</f>
        <v/>
      </c>
      <c r="B48" s="18" t="str">
        <f t="shared" si="0"/>
        <v/>
      </c>
      <c r="C48" s="18" t="str">
        <f t="shared" si="1"/>
        <v/>
      </c>
    </row>
    <row r="49" spans="1:3">
      <c r="A49" s="18" t="str">
        <f>IF(Portfolio!D41&lt;&gt;"",Portfolio!D41,"")</f>
        <v/>
      </c>
      <c r="B49" s="18" t="str">
        <f t="shared" si="0"/>
        <v/>
      </c>
      <c r="C49" s="18" t="str">
        <f t="shared" si="1"/>
        <v/>
      </c>
    </row>
    <row r="50" spans="1:3">
      <c r="A50" s="18" t="str">
        <f>IF(Portfolio!D42&lt;&gt;"",Portfolio!D42,"")</f>
        <v/>
      </c>
      <c r="B50" s="18" t="str">
        <f t="shared" si="0"/>
        <v/>
      </c>
      <c r="C50" s="18" t="str">
        <f t="shared" si="1"/>
        <v/>
      </c>
    </row>
    <row r="51" spans="1:3">
      <c r="A51" s="18" t="str">
        <f>IF(Portfolio!D43&lt;&gt;"",Portfolio!D43,"")</f>
        <v/>
      </c>
      <c r="B51" s="18" t="str">
        <f t="shared" si="0"/>
        <v/>
      </c>
      <c r="C51" s="18" t="str">
        <f t="shared" si="1"/>
        <v/>
      </c>
    </row>
    <row r="52" spans="1:3">
      <c r="A52" s="18" t="str">
        <f>IF(Portfolio!D44&lt;&gt;"",Portfolio!D44,"")</f>
        <v/>
      </c>
      <c r="B52" s="18" t="str">
        <f t="shared" si="0"/>
        <v/>
      </c>
      <c r="C52" s="18" t="str">
        <f t="shared" si="1"/>
        <v/>
      </c>
    </row>
    <row r="53" spans="1:3">
      <c r="A53" s="18" t="str">
        <f>IF(Portfolio!D45&lt;&gt;"",Portfolio!D45,"")</f>
        <v/>
      </c>
      <c r="B53" s="18" t="str">
        <f t="shared" si="0"/>
        <v/>
      </c>
      <c r="C53" s="18" t="str">
        <f t="shared" si="1"/>
        <v/>
      </c>
    </row>
    <row r="54" spans="1:3">
      <c r="A54" s="18" t="str">
        <f>IF(Portfolio!D46&lt;&gt;"",Portfolio!D46,"")</f>
        <v/>
      </c>
      <c r="B54" s="18" t="str">
        <f t="shared" si="0"/>
        <v/>
      </c>
      <c r="C54" s="18" t="str">
        <f t="shared" si="1"/>
        <v/>
      </c>
    </row>
    <row r="55" spans="1:3">
      <c r="A55" s="18" t="str">
        <f>IF(Portfolio!D47&lt;&gt;"",Portfolio!D47,"")</f>
        <v/>
      </c>
      <c r="B55" s="18" t="str">
        <f t="shared" si="0"/>
        <v/>
      </c>
      <c r="C55" s="18" t="str">
        <f t="shared" si="1"/>
        <v/>
      </c>
    </row>
    <row r="56" spans="1:3">
      <c r="A56" s="18" t="str">
        <f>IF(Portfolio!D48&lt;&gt;"",Portfolio!D48,"")</f>
        <v/>
      </c>
      <c r="B56" s="18" t="str">
        <f t="shared" si="0"/>
        <v/>
      </c>
      <c r="C56" s="18" t="str">
        <f t="shared" si="1"/>
        <v/>
      </c>
    </row>
    <row r="57" spans="1:3">
      <c r="A57" s="18" t="str">
        <f>IF(Portfolio!D49&lt;&gt;"",Portfolio!D49,"")</f>
        <v/>
      </c>
      <c r="B57" s="18" t="str">
        <f t="shared" si="0"/>
        <v/>
      </c>
      <c r="C57" s="18" t="str">
        <f t="shared" si="1"/>
        <v/>
      </c>
    </row>
    <row r="58" spans="1:3">
      <c r="A58" s="18" t="str">
        <f>IF(Portfolio!D50&lt;&gt;"",Portfolio!D50,"")</f>
        <v/>
      </c>
      <c r="B58" s="18" t="str">
        <f t="shared" si="0"/>
        <v/>
      </c>
      <c r="C58" s="18" t="str">
        <f t="shared" si="1"/>
        <v/>
      </c>
    </row>
    <row r="59" spans="1:3">
      <c r="A59" s="18" t="str">
        <f>IF(Portfolio!D51&lt;&gt;"",Portfolio!D51,"")</f>
        <v/>
      </c>
      <c r="B59" s="18" t="str">
        <f t="shared" si="0"/>
        <v/>
      </c>
      <c r="C59" s="18" t="str">
        <f t="shared" si="1"/>
        <v/>
      </c>
    </row>
    <row r="60" spans="1:3">
      <c r="A60" s="18" t="str">
        <f>IF(Portfolio!D52&lt;&gt;"",Portfolio!D52,"")</f>
        <v/>
      </c>
      <c r="B60" s="18" t="str">
        <f t="shared" si="0"/>
        <v/>
      </c>
      <c r="C60" s="18" t="str">
        <f t="shared" si="1"/>
        <v/>
      </c>
    </row>
    <row r="61" spans="1:3">
      <c r="A61" s="18" t="str">
        <f>IF(Portfolio!D53&lt;&gt;"",Portfolio!D53,"")</f>
        <v/>
      </c>
      <c r="B61" s="18" t="str">
        <f t="shared" si="0"/>
        <v/>
      </c>
      <c r="C61" s="18" t="str">
        <f t="shared" si="1"/>
        <v/>
      </c>
    </row>
    <row r="62" spans="1:3">
      <c r="A62" s="18" t="str">
        <f>IF(Portfolio!D54&lt;&gt;"",Portfolio!D54,"")</f>
        <v/>
      </c>
      <c r="B62" s="18" t="str">
        <f t="shared" si="0"/>
        <v/>
      </c>
      <c r="C62" s="18" t="str">
        <f t="shared" si="1"/>
        <v/>
      </c>
    </row>
    <row r="63" spans="1:3">
      <c r="A63" s="18" t="str">
        <f>IF(Portfolio!D55&lt;&gt;"",Portfolio!D55,"")</f>
        <v/>
      </c>
      <c r="B63" s="18" t="str">
        <f t="shared" si="0"/>
        <v/>
      </c>
      <c r="C63" s="18" t="str">
        <f t="shared" si="1"/>
        <v/>
      </c>
    </row>
    <row r="64" spans="1:3">
      <c r="A64" s="18" t="str">
        <f>IF(Portfolio!D56&lt;&gt;"",Portfolio!D56,"")</f>
        <v/>
      </c>
      <c r="B64" s="18" t="str">
        <f t="shared" si="0"/>
        <v/>
      </c>
      <c r="C64" s="18" t="str">
        <f t="shared" si="1"/>
        <v/>
      </c>
    </row>
    <row r="65" spans="1:3">
      <c r="A65" s="18" t="str">
        <f>IF(Portfolio!D57&lt;&gt;"",Portfolio!D57,"")</f>
        <v/>
      </c>
      <c r="B65" s="18" t="str">
        <f t="shared" si="0"/>
        <v/>
      </c>
      <c r="C65" s="18" t="str">
        <f t="shared" si="1"/>
        <v/>
      </c>
    </row>
    <row r="66" spans="1:3">
      <c r="A66" s="18" t="str">
        <f>IF(Portfolio!D58&lt;&gt;"",Portfolio!D58,"")</f>
        <v/>
      </c>
      <c r="B66" s="18" t="str">
        <f t="shared" si="0"/>
        <v/>
      </c>
      <c r="C66" s="18" t="str">
        <f t="shared" si="1"/>
        <v/>
      </c>
    </row>
    <row r="67" spans="1:3">
      <c r="A67" s="18" t="str">
        <f>IF(Portfolio!D59&lt;&gt;"",Portfolio!D59,"")</f>
        <v/>
      </c>
      <c r="B67" s="18" t="str">
        <f t="shared" si="0"/>
        <v/>
      </c>
      <c r="C67" s="18" t="str">
        <f t="shared" si="1"/>
        <v/>
      </c>
    </row>
    <row r="68" spans="1:3">
      <c r="A68" s="18" t="str">
        <f>IF(Portfolio!D60&lt;&gt;"",Portfolio!D60,"")</f>
        <v/>
      </c>
      <c r="B68" s="18" t="str">
        <f t="shared" si="0"/>
        <v/>
      </c>
      <c r="C68" s="18" t="str">
        <f t="shared" si="1"/>
        <v/>
      </c>
    </row>
    <row r="69" spans="1:3">
      <c r="A69" s="18" t="str">
        <f>IF(Portfolio!D61&lt;&gt;"",Portfolio!D61,"")</f>
        <v/>
      </c>
      <c r="B69" s="18" t="str">
        <f t="shared" si="0"/>
        <v/>
      </c>
      <c r="C69" s="18" t="str">
        <f t="shared" si="1"/>
        <v/>
      </c>
    </row>
    <row r="70" spans="1:3">
      <c r="A70" s="18" t="str">
        <f>IF(Portfolio!D62&lt;&gt;"",Portfolio!D62,"")</f>
        <v/>
      </c>
      <c r="B70" s="18" t="str">
        <f t="shared" si="0"/>
        <v/>
      </c>
      <c r="C70" s="18" t="str">
        <f t="shared" si="1"/>
        <v/>
      </c>
    </row>
    <row r="71" spans="1:3">
      <c r="A71" s="18" t="str">
        <f>IF(Portfolio!D63&lt;&gt;"",Portfolio!D63,"")</f>
        <v/>
      </c>
      <c r="B71" s="18" t="str">
        <f t="shared" si="0"/>
        <v/>
      </c>
      <c r="C71" s="18" t="str">
        <f t="shared" si="1"/>
        <v/>
      </c>
    </row>
    <row r="72" spans="1:3">
      <c r="A72" s="18" t="str">
        <f>IF(Portfolio!D64&lt;&gt;"",Portfolio!D64,"")</f>
        <v/>
      </c>
      <c r="B72" s="18" t="str">
        <f t="shared" si="0"/>
        <v/>
      </c>
      <c r="C72" s="18" t="str">
        <f t="shared" si="1"/>
        <v/>
      </c>
    </row>
    <row r="73" spans="1:3">
      <c r="A73" s="18" t="str">
        <f>IF(Portfolio!D65&lt;&gt;"",Portfolio!D65,"")</f>
        <v/>
      </c>
      <c r="B73" s="18" t="str">
        <f t="shared" si="0"/>
        <v/>
      </c>
      <c r="C73" s="18" t="str">
        <f t="shared" si="1"/>
        <v/>
      </c>
    </row>
    <row r="74" spans="1:3">
      <c r="A74" s="18" t="str">
        <f>IF(Portfolio!D66&lt;&gt;"",Portfolio!D66,"")</f>
        <v/>
      </c>
      <c r="B74" s="18" t="str">
        <f t="shared" si="0"/>
        <v/>
      </c>
      <c r="C74" s="18" t="str">
        <f t="shared" si="1"/>
        <v/>
      </c>
    </row>
    <row r="75" spans="1:3">
      <c r="A75" s="18" t="str">
        <f>IF(Portfolio!D67&lt;&gt;"",Portfolio!D67,"")</f>
        <v/>
      </c>
      <c r="B75" s="18" t="str">
        <f t="shared" si="0"/>
        <v/>
      </c>
      <c r="C75" s="18" t="str">
        <f t="shared" si="1"/>
        <v/>
      </c>
    </row>
    <row r="76" spans="1:3">
      <c r="A76" s="18" t="str">
        <f>IF(Portfolio!D68&lt;&gt;"",Portfolio!D68,"")</f>
        <v/>
      </c>
      <c r="B76" s="18" t="str">
        <f t="shared" ref="B76:B100" si="2">IF(A76&lt;&gt;"",4,"")</f>
        <v/>
      </c>
      <c r="C76" s="18" t="str">
        <f t="shared" ref="C76:C100" si="3">IF(A76&lt;&gt;"",1,"")</f>
        <v/>
      </c>
    </row>
    <row r="77" spans="1:3">
      <c r="A77" s="18" t="str">
        <f>IF(Portfolio!D69&lt;&gt;"",Portfolio!D69,"")</f>
        <v/>
      </c>
      <c r="B77" s="18" t="str">
        <f t="shared" si="2"/>
        <v/>
      </c>
      <c r="C77" s="18" t="str">
        <f t="shared" si="3"/>
        <v/>
      </c>
    </row>
    <row r="78" spans="1:3">
      <c r="A78" s="18" t="str">
        <f>IF(Portfolio!D70&lt;&gt;"",Portfolio!D70,"")</f>
        <v/>
      </c>
      <c r="B78" s="18" t="str">
        <f t="shared" si="2"/>
        <v/>
      </c>
      <c r="C78" s="18" t="str">
        <f t="shared" si="3"/>
        <v/>
      </c>
    </row>
    <row r="79" spans="1:3">
      <c r="A79" s="18" t="str">
        <f>IF(Portfolio!D71&lt;&gt;"",Portfolio!D71,"")</f>
        <v/>
      </c>
      <c r="B79" s="18" t="str">
        <f t="shared" si="2"/>
        <v/>
      </c>
      <c r="C79" s="18" t="str">
        <f t="shared" si="3"/>
        <v/>
      </c>
    </row>
    <row r="80" spans="1:3">
      <c r="A80" s="18" t="str">
        <f>IF(Portfolio!D72&lt;&gt;"",Portfolio!D72,"")</f>
        <v/>
      </c>
      <c r="B80" s="18" t="str">
        <f t="shared" si="2"/>
        <v/>
      </c>
      <c r="C80" s="18" t="str">
        <f t="shared" si="3"/>
        <v/>
      </c>
    </row>
    <row r="81" spans="1:3">
      <c r="A81" s="18" t="str">
        <f>IF(Portfolio!D73&lt;&gt;"",Portfolio!D73,"")</f>
        <v/>
      </c>
      <c r="B81" s="18" t="str">
        <f t="shared" si="2"/>
        <v/>
      </c>
      <c r="C81" s="18" t="str">
        <f t="shared" si="3"/>
        <v/>
      </c>
    </row>
    <row r="82" spans="1:3">
      <c r="A82" s="18" t="str">
        <f>IF(Portfolio!D74&lt;&gt;"",Portfolio!D74,"")</f>
        <v/>
      </c>
      <c r="B82" s="18" t="str">
        <f t="shared" si="2"/>
        <v/>
      </c>
      <c r="C82" s="18" t="str">
        <f t="shared" si="3"/>
        <v/>
      </c>
    </row>
    <row r="83" spans="1:3">
      <c r="A83" s="18" t="str">
        <f>IF(Portfolio!D75&lt;&gt;"",Portfolio!D75,"")</f>
        <v/>
      </c>
      <c r="B83" s="18" t="str">
        <f t="shared" si="2"/>
        <v/>
      </c>
      <c r="C83" s="18" t="str">
        <f t="shared" si="3"/>
        <v/>
      </c>
    </row>
    <row r="84" spans="1:3">
      <c r="A84" s="18" t="str">
        <f>IF(Portfolio!D76&lt;&gt;"",Portfolio!D76,"")</f>
        <v/>
      </c>
      <c r="B84" s="18" t="str">
        <f t="shared" si="2"/>
        <v/>
      </c>
      <c r="C84" s="18" t="str">
        <f t="shared" si="3"/>
        <v/>
      </c>
    </row>
    <row r="85" spans="1:3">
      <c r="A85" s="18" t="str">
        <f>IF(Portfolio!D77&lt;&gt;"",Portfolio!D77,"")</f>
        <v/>
      </c>
      <c r="B85" s="18" t="str">
        <f t="shared" si="2"/>
        <v/>
      </c>
      <c r="C85" s="18" t="str">
        <f t="shared" si="3"/>
        <v/>
      </c>
    </row>
    <row r="86" spans="1:3">
      <c r="A86" s="18" t="str">
        <f>IF(Portfolio!D78&lt;&gt;"",Portfolio!D78,"")</f>
        <v/>
      </c>
      <c r="B86" s="18" t="str">
        <f t="shared" si="2"/>
        <v/>
      </c>
      <c r="C86" s="18" t="str">
        <f t="shared" si="3"/>
        <v/>
      </c>
    </row>
    <row r="87" spans="1:3">
      <c r="A87" s="18" t="str">
        <f>IF(Portfolio!D79&lt;&gt;"",Portfolio!D79,"")</f>
        <v/>
      </c>
      <c r="B87" s="18" t="str">
        <f t="shared" si="2"/>
        <v/>
      </c>
      <c r="C87" s="18" t="str">
        <f t="shared" si="3"/>
        <v/>
      </c>
    </row>
    <row r="88" spans="1:3">
      <c r="A88" s="18" t="str">
        <f>IF(Portfolio!D80&lt;&gt;"",Portfolio!D80,"")</f>
        <v/>
      </c>
      <c r="B88" s="18" t="str">
        <f t="shared" si="2"/>
        <v/>
      </c>
      <c r="C88" s="18" t="str">
        <f t="shared" si="3"/>
        <v/>
      </c>
    </row>
    <row r="89" spans="1:3">
      <c r="A89" s="18" t="str">
        <f>IF(Portfolio!D81&lt;&gt;"",Portfolio!D81,"")</f>
        <v/>
      </c>
      <c r="B89" s="18" t="str">
        <f t="shared" si="2"/>
        <v/>
      </c>
      <c r="C89" s="18" t="str">
        <f t="shared" si="3"/>
        <v/>
      </c>
    </row>
    <row r="90" spans="1:3">
      <c r="A90" s="18" t="str">
        <f>IF(Portfolio!D82&lt;&gt;"",Portfolio!D82,"")</f>
        <v/>
      </c>
      <c r="B90" s="18" t="str">
        <f t="shared" si="2"/>
        <v/>
      </c>
      <c r="C90" s="18" t="str">
        <f t="shared" si="3"/>
        <v/>
      </c>
    </row>
    <row r="91" spans="1:3">
      <c r="A91" s="18" t="str">
        <f>IF(Portfolio!D83&lt;&gt;"",Portfolio!D83,"")</f>
        <v/>
      </c>
      <c r="B91" s="18" t="str">
        <f t="shared" si="2"/>
        <v/>
      </c>
      <c r="C91" s="18" t="str">
        <f t="shared" si="3"/>
        <v/>
      </c>
    </row>
    <row r="92" spans="1:3">
      <c r="A92" s="18" t="str">
        <f>IF(Portfolio!D84&lt;&gt;"",Portfolio!D84,"")</f>
        <v/>
      </c>
      <c r="B92" s="18" t="str">
        <f t="shared" si="2"/>
        <v/>
      </c>
      <c r="C92" s="18" t="str">
        <f t="shared" si="3"/>
        <v/>
      </c>
    </row>
    <row r="93" spans="1:3">
      <c r="A93" s="18" t="str">
        <f>IF(Portfolio!D85&lt;&gt;"",Portfolio!D85,"")</f>
        <v/>
      </c>
      <c r="B93" s="18" t="str">
        <f t="shared" si="2"/>
        <v/>
      </c>
      <c r="C93" s="18" t="str">
        <f t="shared" si="3"/>
        <v/>
      </c>
    </row>
    <row r="94" spans="1:3">
      <c r="A94" s="18" t="str">
        <f>IF(Portfolio!D86&lt;&gt;"",Portfolio!D86,"")</f>
        <v/>
      </c>
      <c r="B94" s="18" t="str">
        <f t="shared" si="2"/>
        <v/>
      </c>
      <c r="C94" s="18" t="str">
        <f t="shared" si="3"/>
        <v/>
      </c>
    </row>
    <row r="95" spans="1:3">
      <c r="A95" s="18" t="str">
        <f>IF(Portfolio!D87&lt;&gt;"",Portfolio!D87,"")</f>
        <v/>
      </c>
      <c r="B95" s="18" t="str">
        <f t="shared" si="2"/>
        <v/>
      </c>
      <c r="C95" s="18" t="str">
        <f t="shared" si="3"/>
        <v/>
      </c>
    </row>
    <row r="96" spans="1:3">
      <c r="A96" s="18" t="str">
        <f>IF(Portfolio!D88&lt;&gt;"",Portfolio!D88,"")</f>
        <v/>
      </c>
      <c r="B96" s="18" t="str">
        <f t="shared" si="2"/>
        <v/>
      </c>
      <c r="C96" s="18" t="str">
        <f t="shared" si="3"/>
        <v/>
      </c>
    </row>
    <row r="97" spans="1:3">
      <c r="A97" s="18" t="str">
        <f>IF(Portfolio!D89&lt;&gt;"",Portfolio!D89,"")</f>
        <v/>
      </c>
      <c r="B97" s="18" t="str">
        <f t="shared" si="2"/>
        <v/>
      </c>
      <c r="C97" s="18" t="str">
        <f t="shared" si="3"/>
        <v/>
      </c>
    </row>
    <row r="98" spans="1:3">
      <c r="A98" s="18" t="str">
        <f>IF(Portfolio!D90&lt;&gt;"",Portfolio!D90,"")</f>
        <v/>
      </c>
      <c r="B98" s="18" t="str">
        <f t="shared" si="2"/>
        <v/>
      </c>
      <c r="C98" s="18" t="str">
        <f t="shared" si="3"/>
        <v/>
      </c>
    </row>
    <row r="99" spans="1:3">
      <c r="A99" s="18" t="str">
        <f>IF(Portfolio!D91&lt;&gt;"",Portfolio!D91,"")</f>
        <v/>
      </c>
      <c r="B99" s="18" t="str">
        <f t="shared" si="2"/>
        <v/>
      </c>
      <c r="C99" s="18" t="str">
        <f t="shared" si="3"/>
        <v/>
      </c>
    </row>
    <row r="100" spans="1:3">
      <c r="A100" s="18" t="str">
        <f>IF(Portfolio!D92&lt;&gt;"",Portfolio!D92,"")</f>
        <v/>
      </c>
      <c r="B100" s="18" t="str">
        <f t="shared" si="2"/>
        <v/>
      </c>
      <c r="C100" s="18" t="str">
        <f t="shared" si="3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2:I16"/>
  <sheetViews>
    <sheetView workbookViewId="0">
      <selection activeCell="G2" sqref="G2:I76"/>
    </sheetView>
  </sheetViews>
  <sheetFormatPr defaultRowHeight="12.75"/>
  <sheetData>
    <row r="2" spans="1:9">
      <c r="A2" t="s">
        <v>337</v>
      </c>
      <c r="B2" t="s">
        <v>328</v>
      </c>
      <c r="C2">
        <v>74.02</v>
      </c>
      <c r="D2" t="s">
        <v>337</v>
      </c>
      <c r="E2" t="s">
        <v>330</v>
      </c>
      <c r="F2">
        <v>76.8</v>
      </c>
      <c r="G2" t="s">
        <v>337</v>
      </c>
      <c r="H2" t="s">
        <v>329</v>
      </c>
      <c r="I2">
        <v>74.02</v>
      </c>
    </row>
    <row r="3" spans="1:9">
      <c r="A3" t="s">
        <v>340</v>
      </c>
      <c r="B3" t="s">
        <v>328</v>
      </c>
      <c r="C3">
        <v>23.56</v>
      </c>
      <c r="D3" t="s">
        <v>340</v>
      </c>
      <c r="E3" t="s">
        <v>330</v>
      </c>
      <c r="F3">
        <v>23.64</v>
      </c>
      <c r="G3" t="s">
        <v>340</v>
      </c>
      <c r="H3" t="s">
        <v>329</v>
      </c>
      <c r="I3">
        <v>23.22</v>
      </c>
    </row>
    <row r="4" spans="1:9">
      <c r="A4" t="s">
        <v>341</v>
      </c>
      <c r="B4" t="s">
        <v>328</v>
      </c>
      <c r="C4">
        <v>11.96</v>
      </c>
      <c r="D4" t="s">
        <v>341</v>
      </c>
      <c r="E4" t="s">
        <v>330</v>
      </c>
      <c r="F4">
        <v>12.23</v>
      </c>
      <c r="G4" t="s">
        <v>341</v>
      </c>
      <c r="H4" t="s">
        <v>329</v>
      </c>
      <c r="I4">
        <v>11.95</v>
      </c>
    </row>
    <row r="5" spans="1:9">
      <c r="A5" t="s">
        <v>342</v>
      </c>
      <c r="B5" t="s">
        <v>328</v>
      </c>
      <c r="C5">
        <v>58.05</v>
      </c>
      <c r="D5" t="s">
        <v>342</v>
      </c>
      <c r="E5" t="s">
        <v>330</v>
      </c>
      <c r="F5">
        <v>60.11</v>
      </c>
      <c r="G5" t="s">
        <v>342</v>
      </c>
      <c r="H5" t="s">
        <v>329</v>
      </c>
      <c r="I5">
        <v>58.05</v>
      </c>
    </row>
    <row r="6" spans="1:9">
      <c r="A6" t="s">
        <v>338</v>
      </c>
      <c r="B6" t="s">
        <v>328</v>
      </c>
      <c r="C6">
        <v>38.950000000000003</v>
      </c>
      <c r="D6" t="s">
        <v>338</v>
      </c>
      <c r="E6" t="s">
        <v>330</v>
      </c>
      <c r="F6">
        <v>39.89</v>
      </c>
      <c r="G6" t="s">
        <v>338</v>
      </c>
      <c r="H6" t="s">
        <v>329</v>
      </c>
      <c r="I6">
        <v>38.83</v>
      </c>
    </row>
    <row r="7" spans="1:9">
      <c r="A7" t="s">
        <v>343</v>
      </c>
      <c r="B7" t="s">
        <v>328</v>
      </c>
      <c r="C7">
        <v>12.28</v>
      </c>
      <c r="D7" t="s">
        <v>343</v>
      </c>
      <c r="E7" t="s">
        <v>330</v>
      </c>
      <c r="F7">
        <v>12.61</v>
      </c>
      <c r="G7" t="s">
        <v>343</v>
      </c>
      <c r="H7" t="s">
        <v>329</v>
      </c>
      <c r="I7">
        <v>12.24</v>
      </c>
    </row>
    <row r="8" spans="1:9">
      <c r="A8" t="s">
        <v>344</v>
      </c>
      <c r="B8" t="s">
        <v>328</v>
      </c>
      <c r="C8">
        <v>19.11</v>
      </c>
      <c r="D8" t="s">
        <v>344</v>
      </c>
      <c r="E8" t="s">
        <v>330</v>
      </c>
      <c r="F8">
        <v>19.649999999999999</v>
      </c>
      <c r="G8" t="s">
        <v>344</v>
      </c>
      <c r="H8" t="s">
        <v>329</v>
      </c>
      <c r="I8">
        <v>19.079999999999998</v>
      </c>
    </row>
    <row r="9" spans="1:9">
      <c r="A9" t="s">
        <v>345</v>
      </c>
      <c r="B9" t="s">
        <v>328</v>
      </c>
      <c r="C9">
        <v>13.64</v>
      </c>
      <c r="D9" t="s">
        <v>345</v>
      </c>
      <c r="E9" t="s">
        <v>330</v>
      </c>
      <c r="F9">
        <v>14.13</v>
      </c>
      <c r="G9" t="s">
        <v>345</v>
      </c>
      <c r="H9" t="s">
        <v>329</v>
      </c>
      <c r="I9">
        <v>13.64</v>
      </c>
    </row>
    <row r="10" spans="1:9">
      <c r="A10" t="s">
        <v>346</v>
      </c>
      <c r="B10" t="s">
        <v>328</v>
      </c>
      <c r="C10">
        <v>47.7</v>
      </c>
      <c r="D10" t="s">
        <v>346</v>
      </c>
      <c r="E10" t="s">
        <v>330</v>
      </c>
      <c r="F10">
        <v>47.79</v>
      </c>
      <c r="G10" t="s">
        <v>346</v>
      </c>
      <c r="H10" t="s">
        <v>329</v>
      </c>
      <c r="I10">
        <v>47.13</v>
      </c>
    </row>
    <row r="11" spans="1:9">
      <c r="A11" t="s">
        <v>339</v>
      </c>
      <c r="B11" t="s">
        <v>328</v>
      </c>
      <c r="C11">
        <v>10.82</v>
      </c>
      <c r="D11" t="s">
        <v>339</v>
      </c>
      <c r="E11" t="s">
        <v>330</v>
      </c>
      <c r="F11">
        <v>11.07</v>
      </c>
      <c r="G11" t="s">
        <v>339</v>
      </c>
      <c r="H11" t="s">
        <v>329</v>
      </c>
      <c r="I11">
        <v>10.78</v>
      </c>
    </row>
    <row r="12" spans="1:9">
      <c r="A12" t="s">
        <v>347</v>
      </c>
      <c r="B12" t="s">
        <v>328</v>
      </c>
      <c r="C12">
        <v>51</v>
      </c>
      <c r="D12" t="s">
        <v>347</v>
      </c>
      <c r="E12" t="s">
        <v>330</v>
      </c>
      <c r="F12">
        <v>51.64</v>
      </c>
      <c r="G12" t="s">
        <v>347</v>
      </c>
      <c r="H12" t="s">
        <v>329</v>
      </c>
      <c r="I12">
        <v>50.94</v>
      </c>
    </row>
    <row r="13" spans="1:9">
      <c r="A13" t="s">
        <v>348</v>
      </c>
      <c r="B13" t="s">
        <v>328</v>
      </c>
      <c r="C13">
        <v>9.84</v>
      </c>
      <c r="D13" t="s">
        <v>348</v>
      </c>
      <c r="E13" t="s">
        <v>330</v>
      </c>
      <c r="F13">
        <v>10.039999999999999</v>
      </c>
      <c r="G13" t="s">
        <v>348</v>
      </c>
      <c r="H13" t="s">
        <v>329</v>
      </c>
      <c r="I13">
        <v>9.84</v>
      </c>
    </row>
    <row r="14" spans="1:9">
      <c r="A14" t="s">
        <v>349</v>
      </c>
      <c r="B14" t="s">
        <v>328</v>
      </c>
      <c r="C14">
        <v>43.15</v>
      </c>
      <c r="D14" t="s">
        <v>349</v>
      </c>
      <c r="E14" t="s">
        <v>330</v>
      </c>
      <c r="F14">
        <v>44.84</v>
      </c>
      <c r="G14" t="s">
        <v>349</v>
      </c>
      <c r="H14" t="s">
        <v>329</v>
      </c>
      <c r="I14">
        <v>43.15</v>
      </c>
    </row>
    <row r="15" spans="1:9">
      <c r="A15" t="s">
        <v>350</v>
      </c>
      <c r="B15" t="s">
        <v>328</v>
      </c>
      <c r="C15">
        <v>9.23</v>
      </c>
      <c r="D15" t="s">
        <v>350</v>
      </c>
      <c r="E15" t="s">
        <v>330</v>
      </c>
      <c r="F15">
        <v>9.6</v>
      </c>
      <c r="G15" t="s">
        <v>350</v>
      </c>
      <c r="H15" t="s">
        <v>329</v>
      </c>
      <c r="I15">
        <v>9.2100000000000009</v>
      </c>
    </row>
    <row r="16" spans="1:9">
      <c r="A16" t="s">
        <v>336</v>
      </c>
      <c r="B16" t="s">
        <v>328</v>
      </c>
      <c r="C16">
        <v>59493</v>
      </c>
      <c r="D16" t="s">
        <v>336</v>
      </c>
      <c r="E16" t="s">
        <v>330</v>
      </c>
      <c r="F16">
        <v>60870</v>
      </c>
      <c r="G16" t="s">
        <v>336</v>
      </c>
      <c r="H16" t="s">
        <v>329</v>
      </c>
      <c r="I16">
        <v>59210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Config</vt:lpstr>
      <vt:lpstr>Orders01</vt:lpstr>
      <vt:lpstr>Params</vt:lpstr>
      <vt:lpstr>Portfolio</vt:lpstr>
      <vt:lpstr>Last</vt:lpstr>
      <vt:lpstr>Hi</vt:lpstr>
      <vt:lpstr>Lo</vt:lpstr>
      <vt:lpstr>Consolidado</vt:lpstr>
      <vt:lpstr>MaxAmount</vt:lpstr>
      <vt:lpstr>MaxNrOrders</vt:lpstr>
      <vt:lpstr>MaxNrShares</vt:lpstr>
      <vt:lpstr>MaxRangeSize</vt:lpstr>
      <vt:lpstr>Hi!OutputRange</vt:lpstr>
      <vt:lpstr>Last!OutputRange</vt:lpstr>
      <vt:lpstr>Lo!OutputRange</vt:lpstr>
      <vt:lpstr>Portfolio!OutputRange</vt:lpstr>
      <vt:lpstr>Hi!Params</vt:lpstr>
      <vt:lpstr>Last!Params</vt:lpstr>
      <vt:lpstr>Lo!Params</vt:lpstr>
      <vt:lpstr>Portfolio!Params</vt:lpstr>
      <vt:lpstr>Portfolio!Sections</vt:lpstr>
      <vt:lpstr>StreamCancelAll01</vt:lpstr>
      <vt:lpstr>StreamExec01</vt:lpstr>
      <vt:lpstr>StreamOrders01</vt:lpstr>
      <vt:lpstr>Hi!Tickers</vt:lpstr>
      <vt:lpstr>Last!Tickers</vt:lpstr>
      <vt:lpstr>Lo!Tickers</vt:lpstr>
      <vt:lpstr>URIREFOrders01</vt:lpstr>
    </vt:vector>
  </TitlesOfParts>
  <Company>Grassybrook,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Ruei-Hsin Hsiao</dc:creator>
  <cp:lastModifiedBy>ramon.vallente</cp:lastModifiedBy>
  <dcterms:created xsi:type="dcterms:W3CDTF">2005-08-29T19:02:21Z</dcterms:created>
  <dcterms:modified xsi:type="dcterms:W3CDTF">2012-08-22T17:35:30Z</dcterms:modified>
</cp:coreProperties>
</file>